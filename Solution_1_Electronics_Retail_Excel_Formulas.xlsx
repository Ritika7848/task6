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Lookup_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Formula_Guide" sheetId="4" state="visible" r:id="rId4"/>
    <sheet xmlns:r="http://schemas.openxmlformats.org/officeDocument/2006/relationships" name="READM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6"/>
    </font>
    <font>
      <b val="1"/>
      <color rgb="0017365D"/>
      <sz val="13"/>
    </font>
    <font>
      <b val="1"/>
      <color rgb="0017365D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Completed 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'Analysis'!$A$12:$A$15</f>
            </numRef>
          </cat>
          <val>
            <numRef>
              <f>'Analysis'!$B$12:$B$15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tailTransactions" displayName="RetailTransactions" ref="A1:Q61" headerRowCount="1">
  <autoFilter ref="A1:Q61"/>
  <tableColumns count="17">
    <tableColumn id="1" name="Order_ID"/>
    <tableColumn id="2" name="Order_Date"/>
    <tableColumn id="3" name="Customer_Raw"/>
    <tableColumn id="4" name="Region"/>
    <tableColumn id="5" name="Product_ID"/>
    <tableColumn id="6" name="Units"/>
    <tableColumn id="7" name="Unit_Price"/>
    <tableColumn id="8" name="Sales"/>
    <tableColumn id="9" name="Payment_Method"/>
    <tableColumn id="10" name="Channel"/>
    <tableColumn id="11" name="Order_Status"/>
    <tableColumn id="12" name="Product_VLOOKUP"/>
    <tableColumn id="13" name="Unit_Price_XLOOKUP"/>
    <tableColumn id="14" name="Category_XLOOKUP"/>
    <tableColumn id="15" name="Customer_Clean"/>
    <tableColumn id="16" name="Sales_Band_IF"/>
    <tableColumn id="17" name="Order_Flag_I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tailLookup" displayName="RetailLookup" ref="A1:D11" headerRowCount="1">
  <autoFilter ref="A1:D11"/>
  <tableColumns count="4">
    <tableColumn id="1" name="Product_ID"/>
    <tableColumn id="2" name="Product_Name"/>
    <tableColumn id="3" name="Category"/>
    <tableColumn id="4" name="Unit_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tailFormulaGuide" displayName="RetailFormulaGuide" ref="A1:C10" headerRowCount="1">
  <autoFilter ref="A1:C10"/>
  <tableColumns count="3">
    <tableColumn id="1" name="Function"/>
    <tableColumn id="2" name="Example Formula"/>
    <tableColumn id="3" name="When to 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2" customWidth="1" min="4" max="4"/>
    <col width="12" customWidth="1" min="5" max="5"/>
    <col width="9" customWidth="1" min="6" max="6"/>
    <col width="13" customWidth="1" min="7" max="7"/>
    <col width="14" customWidth="1" min="8" max="8"/>
    <col width="16" customWidth="1" min="9" max="9"/>
    <col width="12" customWidth="1" min="10" max="10"/>
    <col width="15" customWidth="1" min="11" max="11"/>
    <col width="22" customWidth="1" min="12" max="12"/>
    <col width="18" customWidth="1" min="13" max="13"/>
    <col width="18" customWidth="1" min="14" max="14"/>
    <col width="22" customWidth="1" min="15" max="15"/>
    <col width="16" customWidth="1" min="16" max="16"/>
    <col width="14" customWidth="1" min="17" max="17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Customer_Raw</t>
        </is>
      </c>
      <c r="D1" s="1" t="inlineStr">
        <is>
          <t>Region</t>
        </is>
      </c>
      <c r="E1" s="1" t="inlineStr">
        <is>
          <t>Product_ID</t>
        </is>
      </c>
      <c r="F1" s="1" t="inlineStr">
        <is>
          <t>Units</t>
        </is>
      </c>
      <c r="G1" s="1" t="inlineStr">
        <is>
          <t>Unit_Price</t>
        </is>
      </c>
      <c r="H1" s="1" t="inlineStr">
        <is>
          <t>Sales</t>
        </is>
      </c>
      <c r="I1" s="1" t="inlineStr">
        <is>
          <t>Payment_Method</t>
        </is>
      </c>
      <c r="J1" s="1" t="inlineStr">
        <is>
          <t>Channel</t>
        </is>
      </c>
      <c r="K1" s="1" t="inlineStr">
        <is>
          <t>Order_Status</t>
        </is>
      </c>
      <c r="L1" s="1" t="inlineStr">
        <is>
          <t>Product_VLOOKUP</t>
        </is>
      </c>
      <c r="M1" s="1" t="inlineStr">
        <is>
          <t>Unit_Price_XLOOKUP</t>
        </is>
      </c>
      <c r="N1" s="1" t="inlineStr">
        <is>
          <t>Category_XLOOKUP</t>
        </is>
      </c>
      <c r="O1" s="1" t="inlineStr">
        <is>
          <t>Customer_Clean</t>
        </is>
      </c>
      <c r="P1" s="1" t="inlineStr">
        <is>
          <t>Sales_Band_IF</t>
        </is>
      </c>
      <c r="Q1" s="1" t="inlineStr">
        <is>
          <t>Order_Flag_IF</t>
        </is>
      </c>
    </row>
    <row r="2">
      <c r="A2" t="inlineStr">
        <is>
          <t>RT0001</t>
        </is>
      </c>
      <c r="B2" s="2" t="n">
        <v>46085</v>
      </c>
      <c r="C2" t="inlineStr">
        <is>
          <t>Priya Nair</t>
        </is>
      </c>
      <c r="D2" t="inlineStr">
        <is>
          <t>South</t>
        </is>
      </c>
      <c r="E2" t="inlineStr">
        <is>
          <t>P102</t>
        </is>
      </c>
      <c r="F2" t="n">
        <v>1</v>
      </c>
      <c r="G2" s="3" t="n">
        <v>2499</v>
      </c>
      <c r="H2" s="3" t="n">
        <v>2499</v>
      </c>
      <c r="I2" t="inlineStr">
        <is>
          <t>Card</t>
        </is>
      </c>
      <c r="J2" t="inlineStr">
        <is>
          <t>Online</t>
        </is>
      </c>
      <c r="K2" t="inlineStr">
        <is>
          <t>Cancelled</t>
        </is>
      </c>
      <c r="L2">
        <f>VLOOKUP(E2,Lookup_Data!$A$2:$D$11,2,FALSE)</f>
        <v/>
      </c>
      <c r="M2" s="3">
        <f>XLOOKUP(E2,Lookup_Data!$A$2:$A$11,Lookup_Data!$D$2:$D$11,"Not Found")</f>
        <v/>
      </c>
      <c r="N2">
        <f>XLOOKUP(E2,Lookup_Data!$A$2:$A$11,Lookup_Data!$C$2:$C$11,"Not Found")</f>
        <v/>
      </c>
      <c r="O2">
        <f>PROPER(TRIM(C2))</f>
        <v/>
      </c>
      <c r="P2">
        <f>IF(H2&gt;=20000,"High Value",IF(H2&gt;=10000,"Medium Value","Standard"))</f>
        <v/>
      </c>
      <c r="Q2">
        <f>IF(K2="Completed","Include","Review")</f>
        <v/>
      </c>
    </row>
    <row r="3">
      <c r="A3" t="inlineStr">
        <is>
          <t>RT0002</t>
        </is>
      </c>
      <c r="B3" s="2" t="n">
        <v>46131</v>
      </c>
      <c r="C3" t="inlineStr">
        <is>
          <t>Aman Gupta</t>
        </is>
      </c>
      <c r="D3" t="inlineStr">
        <is>
          <t>North</t>
        </is>
      </c>
      <c r="E3" t="inlineStr">
        <is>
          <t>P109</t>
        </is>
      </c>
      <c r="F3" t="n">
        <v>1</v>
      </c>
      <c r="G3" s="3" t="n">
        <v>6999</v>
      </c>
      <c r="H3" s="3" t="n">
        <v>6999</v>
      </c>
      <c r="I3" t="inlineStr">
        <is>
          <t>UPI</t>
        </is>
      </c>
      <c r="J3" t="inlineStr">
        <is>
          <t>Online</t>
        </is>
      </c>
      <c r="K3" t="inlineStr">
        <is>
          <t>Completed</t>
        </is>
      </c>
      <c r="L3">
        <f>VLOOKUP(E3,Lookup_Data!$A$2:$D$11,2,FALSE)</f>
        <v/>
      </c>
      <c r="M3" s="3">
        <f>XLOOKUP(E3,Lookup_Data!$A$2:$A$11,Lookup_Data!$D$2:$D$11,"Not Found")</f>
        <v/>
      </c>
      <c r="N3">
        <f>XLOOKUP(E3,Lookup_Data!$A$2:$A$11,Lookup_Data!$C$2:$C$11,"Not Found")</f>
        <v/>
      </c>
      <c r="O3">
        <f>PROPER(TRIM(C3))</f>
        <v/>
      </c>
      <c r="P3">
        <f>IF(H3&gt;=20000,"High Value",IF(H3&gt;=10000,"Medium Value","Standard"))</f>
        <v/>
      </c>
      <c r="Q3">
        <f>IF(K3="Completed","Include","Review")</f>
        <v/>
      </c>
    </row>
    <row r="4">
      <c r="A4" t="inlineStr">
        <is>
          <t>RT0003</t>
        </is>
      </c>
      <c r="B4" s="2" t="n">
        <v>46029</v>
      </c>
      <c r="C4" t="inlineStr">
        <is>
          <t>Aman Gupta</t>
        </is>
      </c>
      <c r="D4" t="inlineStr">
        <is>
          <t>South</t>
        </is>
      </c>
      <c r="E4" t="inlineStr">
        <is>
          <t>P104</t>
        </is>
      </c>
      <c r="F4" t="n">
        <v>5</v>
      </c>
      <c r="G4" s="3" t="n">
        <v>18999</v>
      </c>
      <c r="H4" s="3" t="n">
        <v>94995</v>
      </c>
      <c r="I4" t="inlineStr">
        <is>
          <t>Cash</t>
        </is>
      </c>
      <c r="J4" t="inlineStr">
        <is>
          <t>Online</t>
        </is>
      </c>
      <c r="K4" t="inlineStr">
        <is>
          <t>Completed</t>
        </is>
      </c>
      <c r="L4">
        <f>VLOOKUP(E4,Lookup_Data!$A$2:$D$11,2,FALSE)</f>
        <v/>
      </c>
      <c r="M4" s="3">
        <f>XLOOKUP(E4,Lookup_Data!$A$2:$A$11,Lookup_Data!$D$2:$D$11,"Not Found")</f>
        <v/>
      </c>
      <c r="N4">
        <f>XLOOKUP(E4,Lookup_Data!$A$2:$A$11,Lookup_Data!$C$2:$C$11,"Not Found")</f>
        <v/>
      </c>
      <c r="O4">
        <f>PROPER(TRIM(C4))</f>
        <v/>
      </c>
      <c r="P4">
        <f>IF(H4&gt;=20000,"High Value",IF(H4&gt;=10000,"Medium Value","Standard"))</f>
        <v/>
      </c>
      <c r="Q4">
        <f>IF(K4="Completed","Include","Review")</f>
        <v/>
      </c>
    </row>
    <row r="5">
      <c r="A5" t="inlineStr">
        <is>
          <t>RT0004</t>
        </is>
      </c>
      <c r="B5" s="2" t="n">
        <v>46063</v>
      </c>
      <c r="C5" t="inlineStr">
        <is>
          <t xml:space="preserve">  anita sharma  </t>
        </is>
      </c>
      <c r="D5" t="inlineStr">
        <is>
          <t>West</t>
        </is>
      </c>
      <c r="E5" t="inlineStr">
        <is>
          <t>P110</t>
        </is>
      </c>
      <c r="F5" t="n">
        <v>3</v>
      </c>
      <c r="G5" s="3" t="n">
        <v>5899</v>
      </c>
      <c r="H5" s="3" t="n">
        <v>17697</v>
      </c>
      <c r="I5" t="inlineStr">
        <is>
          <t>Net Banking</t>
        </is>
      </c>
      <c r="J5" t="inlineStr">
        <is>
          <t>Store</t>
        </is>
      </c>
      <c r="K5" t="inlineStr">
        <is>
          <t>Completed</t>
        </is>
      </c>
      <c r="L5">
        <f>VLOOKUP(E5,Lookup_Data!$A$2:$D$11,2,FALSE)</f>
        <v/>
      </c>
      <c r="M5" s="3">
        <f>XLOOKUP(E5,Lookup_Data!$A$2:$A$11,Lookup_Data!$D$2:$D$11,"Not Found")</f>
        <v/>
      </c>
      <c r="N5">
        <f>XLOOKUP(E5,Lookup_Data!$A$2:$A$11,Lookup_Data!$C$2:$C$11,"Not Found")</f>
        <v/>
      </c>
      <c r="O5">
        <f>PROPER(TRIM(C5))</f>
        <v/>
      </c>
      <c r="P5">
        <f>IF(H5&gt;=20000,"High Value",IF(H5&gt;=10000,"Medium Value","Standard"))</f>
        <v/>
      </c>
      <c r="Q5">
        <f>IF(K5="Completed","Include","Review")</f>
        <v/>
      </c>
    </row>
    <row r="6">
      <c r="A6" t="inlineStr">
        <is>
          <t>RT0005</t>
        </is>
      </c>
      <c r="B6" s="2" t="n">
        <v>46046</v>
      </c>
      <c r="C6" t="inlineStr">
        <is>
          <t>Rohit Mehta</t>
        </is>
      </c>
      <c r="D6" t="inlineStr">
        <is>
          <t>West</t>
        </is>
      </c>
      <c r="E6" t="inlineStr">
        <is>
          <t>P104</t>
        </is>
      </c>
      <c r="F6" t="n">
        <v>3</v>
      </c>
      <c r="G6" s="3" t="n">
        <v>18999</v>
      </c>
      <c r="H6" s="3" t="n">
        <v>56997</v>
      </c>
      <c r="I6" t="inlineStr">
        <is>
          <t>UPI</t>
        </is>
      </c>
      <c r="J6" t="inlineStr">
        <is>
          <t>Store</t>
        </is>
      </c>
      <c r="K6" t="inlineStr">
        <is>
          <t>Completed</t>
        </is>
      </c>
      <c r="L6">
        <f>VLOOKUP(E6,Lookup_Data!$A$2:$D$11,2,FALSE)</f>
        <v/>
      </c>
      <c r="M6" s="3">
        <f>XLOOKUP(E6,Lookup_Data!$A$2:$A$11,Lookup_Data!$D$2:$D$11,"Not Found")</f>
        <v/>
      </c>
      <c r="N6">
        <f>XLOOKUP(E6,Lookup_Data!$A$2:$A$11,Lookup_Data!$C$2:$C$11,"Not Found")</f>
        <v/>
      </c>
      <c r="O6">
        <f>PROPER(TRIM(C6))</f>
        <v/>
      </c>
      <c r="P6">
        <f>IF(H6&gt;=20000,"High Value",IF(H6&gt;=10000,"Medium Value","Standard"))</f>
        <v/>
      </c>
      <c r="Q6">
        <f>IF(K6="Completed","Include","Review")</f>
        <v/>
      </c>
    </row>
    <row r="7">
      <c r="A7" t="inlineStr">
        <is>
          <t>RT0006</t>
        </is>
      </c>
      <c r="B7" s="2" t="n">
        <v>46140</v>
      </c>
      <c r="C7" t="inlineStr">
        <is>
          <t xml:space="preserve">  anita sharma  </t>
        </is>
      </c>
      <c r="D7" t="inlineStr">
        <is>
          <t>North</t>
        </is>
      </c>
      <c r="E7" t="inlineStr">
        <is>
          <t>P110</t>
        </is>
      </c>
      <c r="F7" t="n">
        <v>3</v>
      </c>
      <c r="G7" s="3" t="n">
        <v>5899</v>
      </c>
      <c r="H7" s="3" t="n">
        <v>17697</v>
      </c>
      <c r="I7" t="inlineStr">
        <is>
          <t>Cash</t>
        </is>
      </c>
      <c r="J7" t="inlineStr">
        <is>
          <t>Online</t>
        </is>
      </c>
      <c r="K7" t="inlineStr">
        <is>
          <t>Pending</t>
        </is>
      </c>
      <c r="L7">
        <f>VLOOKUP(E7,Lookup_Data!$A$2:$D$11,2,FALSE)</f>
        <v/>
      </c>
      <c r="M7" s="3">
        <f>XLOOKUP(E7,Lookup_Data!$A$2:$A$11,Lookup_Data!$D$2:$D$11,"Not Found")</f>
        <v/>
      </c>
      <c r="N7">
        <f>XLOOKUP(E7,Lookup_Data!$A$2:$A$11,Lookup_Data!$C$2:$C$11,"Not Found")</f>
        <v/>
      </c>
      <c r="O7">
        <f>PROPER(TRIM(C7))</f>
        <v/>
      </c>
      <c r="P7">
        <f>IF(H7&gt;=20000,"High Value",IF(H7&gt;=10000,"Medium Value","Standard"))</f>
        <v/>
      </c>
      <c r="Q7">
        <f>IF(K7="Completed","Include","Review")</f>
        <v/>
      </c>
    </row>
    <row r="8">
      <c r="A8" t="inlineStr">
        <is>
          <t>RT0007</t>
        </is>
      </c>
      <c r="B8" s="2" t="n">
        <v>46170</v>
      </c>
      <c r="C8" t="inlineStr">
        <is>
          <t>Arjun Patel</t>
        </is>
      </c>
      <c r="D8" t="inlineStr">
        <is>
          <t>South</t>
        </is>
      </c>
      <c r="E8" t="inlineStr">
        <is>
          <t>P105</t>
        </is>
      </c>
      <c r="F8" t="n">
        <v>5</v>
      </c>
      <c r="G8" s="3" t="n">
        <v>1299</v>
      </c>
      <c r="H8" s="3" t="n">
        <v>6495</v>
      </c>
      <c r="I8" t="inlineStr">
        <is>
          <t>UPI</t>
        </is>
      </c>
      <c r="J8" t="inlineStr">
        <is>
          <t>Online</t>
        </is>
      </c>
      <c r="K8" t="inlineStr">
        <is>
          <t>Cancelled</t>
        </is>
      </c>
      <c r="L8">
        <f>VLOOKUP(E8,Lookup_Data!$A$2:$D$11,2,FALSE)</f>
        <v/>
      </c>
      <c r="M8" s="3">
        <f>XLOOKUP(E8,Lookup_Data!$A$2:$A$11,Lookup_Data!$D$2:$D$11,"Not Found")</f>
        <v/>
      </c>
      <c r="N8">
        <f>XLOOKUP(E8,Lookup_Data!$A$2:$A$11,Lookup_Data!$C$2:$C$11,"Not Found")</f>
        <v/>
      </c>
      <c r="O8">
        <f>PROPER(TRIM(C8))</f>
        <v/>
      </c>
      <c r="P8">
        <f>IF(H8&gt;=20000,"High Value",IF(H8&gt;=10000,"Medium Value","Standard"))</f>
        <v/>
      </c>
      <c r="Q8">
        <f>IF(K8="Completed","Include","Review")</f>
        <v/>
      </c>
    </row>
    <row r="9">
      <c r="A9" t="inlineStr">
        <is>
          <t>RT0008</t>
        </is>
      </c>
      <c r="B9" s="2" t="n">
        <v>46082</v>
      </c>
      <c r="C9" t="inlineStr">
        <is>
          <t>Rohit Mehta</t>
        </is>
      </c>
      <c r="D9" t="inlineStr">
        <is>
          <t>North</t>
        </is>
      </c>
      <c r="E9" t="inlineStr">
        <is>
          <t>P104</t>
        </is>
      </c>
      <c r="F9" t="n">
        <v>3</v>
      </c>
      <c r="G9" s="3" t="n">
        <v>18999</v>
      </c>
      <c r="H9" s="3" t="n">
        <v>56997</v>
      </c>
      <c r="I9" t="inlineStr">
        <is>
          <t>Cash</t>
        </is>
      </c>
      <c r="J9" t="inlineStr">
        <is>
          <t>Store</t>
        </is>
      </c>
      <c r="K9" t="inlineStr">
        <is>
          <t>Completed</t>
        </is>
      </c>
      <c r="L9">
        <f>VLOOKUP(E9,Lookup_Data!$A$2:$D$11,2,FALSE)</f>
        <v/>
      </c>
      <c r="M9" s="3">
        <f>XLOOKUP(E9,Lookup_Data!$A$2:$A$11,Lookup_Data!$D$2:$D$11,"Not Found")</f>
        <v/>
      </c>
      <c r="N9">
        <f>XLOOKUP(E9,Lookup_Data!$A$2:$A$11,Lookup_Data!$C$2:$C$11,"Not Found")</f>
        <v/>
      </c>
      <c r="O9">
        <f>PROPER(TRIM(C9))</f>
        <v/>
      </c>
      <c r="P9">
        <f>IF(H9&gt;=20000,"High Value",IF(H9&gt;=10000,"Medium Value","Standard"))</f>
        <v/>
      </c>
      <c r="Q9">
        <f>IF(K9="Completed","Include","Review")</f>
        <v/>
      </c>
    </row>
    <row r="10">
      <c r="A10" t="inlineStr">
        <is>
          <t>RT0009</t>
        </is>
      </c>
      <c r="B10" s="2" t="n">
        <v>46113</v>
      </c>
      <c r="C10" t="inlineStr">
        <is>
          <t>Arjun Patel</t>
        </is>
      </c>
      <c r="D10" t="inlineStr">
        <is>
          <t>South</t>
        </is>
      </c>
      <c r="E10" t="inlineStr">
        <is>
          <t>P106</t>
        </is>
      </c>
      <c r="F10" t="n">
        <v>2</v>
      </c>
      <c r="G10" s="3" t="n">
        <v>3499</v>
      </c>
      <c r="H10" s="3" t="n">
        <v>6998</v>
      </c>
      <c r="I10" t="inlineStr">
        <is>
          <t>Net Banking</t>
        </is>
      </c>
      <c r="J10" t="inlineStr">
        <is>
          <t>Online</t>
        </is>
      </c>
      <c r="K10" t="inlineStr">
        <is>
          <t>Pending</t>
        </is>
      </c>
      <c r="L10">
        <f>VLOOKUP(E10,Lookup_Data!$A$2:$D$11,2,FALSE)</f>
        <v/>
      </c>
      <c r="M10" s="3">
        <f>XLOOKUP(E10,Lookup_Data!$A$2:$A$11,Lookup_Data!$D$2:$D$11,"Not Found")</f>
        <v/>
      </c>
      <c r="N10">
        <f>XLOOKUP(E10,Lookup_Data!$A$2:$A$11,Lookup_Data!$C$2:$C$11,"Not Found")</f>
        <v/>
      </c>
      <c r="O10">
        <f>PROPER(TRIM(C10))</f>
        <v/>
      </c>
      <c r="P10">
        <f>IF(H10&gt;=20000,"High Value",IF(H10&gt;=10000,"Medium Value","Standard"))</f>
        <v/>
      </c>
      <c r="Q10">
        <f>IF(K10="Completed","Include","Review")</f>
        <v/>
      </c>
    </row>
    <row r="11">
      <c r="A11" t="inlineStr">
        <is>
          <t>RT0010</t>
        </is>
      </c>
      <c r="B11" s="2" t="n">
        <v>46064</v>
      </c>
      <c r="C11" t="inlineStr">
        <is>
          <t xml:space="preserve">  Vivek Singh</t>
        </is>
      </c>
      <c r="D11" t="inlineStr">
        <is>
          <t>West</t>
        </is>
      </c>
      <c r="E11" t="inlineStr">
        <is>
          <t>P103</t>
        </is>
      </c>
      <c r="F11" t="n">
        <v>5</v>
      </c>
      <c r="G11" s="3" t="n">
        <v>1599</v>
      </c>
      <c r="H11" s="3" t="n">
        <v>7995</v>
      </c>
      <c r="I11" t="inlineStr">
        <is>
          <t>Cash</t>
        </is>
      </c>
      <c r="J11" t="inlineStr">
        <is>
          <t>Store</t>
        </is>
      </c>
      <c r="K11" t="inlineStr">
        <is>
          <t>Cancelled</t>
        </is>
      </c>
      <c r="L11">
        <f>VLOOKUP(E11,Lookup_Data!$A$2:$D$11,2,FALSE)</f>
        <v/>
      </c>
      <c r="M11" s="3">
        <f>XLOOKUP(E11,Lookup_Data!$A$2:$A$11,Lookup_Data!$D$2:$D$11,"Not Found")</f>
        <v/>
      </c>
      <c r="N11">
        <f>XLOOKUP(E11,Lookup_Data!$A$2:$A$11,Lookup_Data!$C$2:$C$11,"Not Found")</f>
        <v/>
      </c>
      <c r="O11">
        <f>PROPER(TRIM(C11))</f>
        <v/>
      </c>
      <c r="P11">
        <f>IF(H11&gt;=20000,"High Value",IF(H11&gt;=10000,"Medium Value","Standard"))</f>
        <v/>
      </c>
      <c r="Q11">
        <f>IF(K11="Completed","Include","Review")</f>
        <v/>
      </c>
    </row>
    <row r="12">
      <c r="A12" t="inlineStr">
        <is>
          <t>RT0011</t>
        </is>
      </c>
      <c r="B12" s="2" t="n">
        <v>46037</v>
      </c>
      <c r="C12" t="inlineStr">
        <is>
          <t>Arjun Patel</t>
        </is>
      </c>
      <c r="D12" t="inlineStr">
        <is>
          <t>South</t>
        </is>
      </c>
      <c r="E12" t="inlineStr">
        <is>
          <t>P109</t>
        </is>
      </c>
      <c r="F12" t="n">
        <v>2</v>
      </c>
      <c r="G12" s="3" t="n">
        <v>6999</v>
      </c>
      <c r="H12" s="3" t="n">
        <v>13998</v>
      </c>
      <c r="I12" t="inlineStr">
        <is>
          <t>UPI</t>
        </is>
      </c>
      <c r="J12" t="inlineStr">
        <is>
          <t>Store</t>
        </is>
      </c>
      <c r="K12" t="inlineStr">
        <is>
          <t>Completed</t>
        </is>
      </c>
      <c r="L12">
        <f>VLOOKUP(E12,Lookup_Data!$A$2:$D$11,2,FALSE)</f>
        <v/>
      </c>
      <c r="M12" s="3">
        <f>XLOOKUP(E12,Lookup_Data!$A$2:$A$11,Lookup_Data!$D$2:$D$11,"Not Found")</f>
        <v/>
      </c>
      <c r="N12">
        <f>XLOOKUP(E12,Lookup_Data!$A$2:$A$11,Lookup_Data!$C$2:$C$11,"Not Found")</f>
        <v/>
      </c>
      <c r="O12">
        <f>PROPER(TRIM(C12))</f>
        <v/>
      </c>
      <c r="P12">
        <f>IF(H12&gt;=20000,"High Value",IF(H12&gt;=10000,"Medium Value","Standard"))</f>
        <v/>
      </c>
      <c r="Q12">
        <f>IF(K12="Completed","Include","Review")</f>
        <v/>
      </c>
    </row>
    <row r="13">
      <c r="A13" t="inlineStr">
        <is>
          <t>RT0012</t>
        </is>
      </c>
      <c r="B13" s="2" t="n">
        <v>46168</v>
      </c>
      <c r="C13" t="inlineStr">
        <is>
          <t xml:space="preserve">  Vivek Singh</t>
        </is>
      </c>
      <c r="D13" t="inlineStr">
        <is>
          <t>East</t>
        </is>
      </c>
      <c r="E13" t="inlineStr">
        <is>
          <t>P105</t>
        </is>
      </c>
      <c r="F13" t="n">
        <v>1</v>
      </c>
      <c r="G13" s="3" t="n">
        <v>1299</v>
      </c>
      <c r="H13" s="3" t="n">
        <v>1299</v>
      </c>
      <c r="I13" t="inlineStr">
        <is>
          <t>Card</t>
        </is>
      </c>
      <c r="J13" t="inlineStr">
        <is>
          <t>Store</t>
        </is>
      </c>
      <c r="K13" t="inlineStr">
        <is>
          <t>Completed</t>
        </is>
      </c>
      <c r="L13">
        <f>VLOOKUP(E13,Lookup_Data!$A$2:$D$11,2,FALSE)</f>
        <v/>
      </c>
      <c r="M13" s="3">
        <f>XLOOKUP(E13,Lookup_Data!$A$2:$A$11,Lookup_Data!$D$2:$D$11,"Not Found")</f>
        <v/>
      </c>
      <c r="N13">
        <f>XLOOKUP(E13,Lookup_Data!$A$2:$A$11,Lookup_Data!$C$2:$C$11,"Not Found")</f>
        <v/>
      </c>
      <c r="O13">
        <f>PROPER(TRIM(C13))</f>
        <v/>
      </c>
      <c r="P13">
        <f>IF(H13&gt;=20000,"High Value",IF(H13&gt;=10000,"Medium Value","Standard"))</f>
        <v/>
      </c>
      <c r="Q13">
        <f>IF(K13="Completed","Include","Review")</f>
        <v/>
      </c>
    </row>
    <row r="14">
      <c r="A14" t="inlineStr">
        <is>
          <t>RT0013</t>
        </is>
      </c>
      <c r="B14" s="2" t="n">
        <v>46058</v>
      </c>
      <c r="C14" t="inlineStr">
        <is>
          <t>Priya Nair</t>
        </is>
      </c>
      <c r="D14" t="inlineStr">
        <is>
          <t>South</t>
        </is>
      </c>
      <c r="E14" t="inlineStr">
        <is>
          <t>P108</t>
        </is>
      </c>
      <c r="F14" t="n">
        <v>2</v>
      </c>
      <c r="G14" s="3" t="n">
        <v>4299</v>
      </c>
      <c r="H14" s="3" t="n">
        <v>8598</v>
      </c>
      <c r="I14" t="inlineStr">
        <is>
          <t>Net Banking</t>
        </is>
      </c>
      <c r="J14" t="inlineStr">
        <is>
          <t>Store</t>
        </is>
      </c>
      <c r="K14" t="inlineStr">
        <is>
          <t>Pending</t>
        </is>
      </c>
      <c r="L14">
        <f>VLOOKUP(E14,Lookup_Data!$A$2:$D$11,2,FALSE)</f>
        <v/>
      </c>
      <c r="M14" s="3">
        <f>XLOOKUP(E14,Lookup_Data!$A$2:$A$11,Lookup_Data!$D$2:$D$11,"Not Found")</f>
        <v/>
      </c>
      <c r="N14">
        <f>XLOOKUP(E14,Lookup_Data!$A$2:$A$11,Lookup_Data!$C$2:$C$11,"Not Found")</f>
        <v/>
      </c>
      <c r="O14">
        <f>PROPER(TRIM(C14))</f>
        <v/>
      </c>
      <c r="P14">
        <f>IF(H14&gt;=20000,"High Value",IF(H14&gt;=10000,"Medium Value","Standard"))</f>
        <v/>
      </c>
      <c r="Q14">
        <f>IF(K14="Completed","Include","Review")</f>
        <v/>
      </c>
    </row>
    <row r="15">
      <c r="A15" t="inlineStr">
        <is>
          <t>RT0014</t>
        </is>
      </c>
      <c r="B15" s="2" t="n">
        <v>46058</v>
      </c>
      <c r="C15" t="inlineStr">
        <is>
          <t xml:space="preserve">  Vivek Singh</t>
        </is>
      </c>
      <c r="D15" t="inlineStr">
        <is>
          <t>West</t>
        </is>
      </c>
      <c r="E15" t="inlineStr">
        <is>
          <t>P107</t>
        </is>
      </c>
      <c r="F15" t="n">
        <v>3</v>
      </c>
      <c r="G15" s="3" t="n">
        <v>7999</v>
      </c>
      <c r="H15" s="3" t="n">
        <v>23997</v>
      </c>
      <c r="I15" t="inlineStr">
        <is>
          <t>UPI</t>
        </is>
      </c>
      <c r="J15" t="inlineStr">
        <is>
          <t>Online</t>
        </is>
      </c>
      <c r="K15" t="inlineStr">
        <is>
          <t>Completed</t>
        </is>
      </c>
      <c r="L15">
        <f>VLOOKUP(E15,Lookup_Data!$A$2:$D$11,2,FALSE)</f>
        <v/>
      </c>
      <c r="M15" s="3">
        <f>XLOOKUP(E15,Lookup_Data!$A$2:$A$11,Lookup_Data!$D$2:$D$11,"Not Found")</f>
        <v/>
      </c>
      <c r="N15">
        <f>XLOOKUP(E15,Lookup_Data!$A$2:$A$11,Lookup_Data!$C$2:$C$11,"Not Found")</f>
        <v/>
      </c>
      <c r="O15">
        <f>PROPER(TRIM(C15))</f>
        <v/>
      </c>
      <c r="P15">
        <f>IF(H15&gt;=20000,"High Value",IF(H15&gt;=10000,"Medium Value","Standard"))</f>
        <v/>
      </c>
      <c r="Q15">
        <f>IF(K15="Completed","Include","Review")</f>
        <v/>
      </c>
    </row>
    <row r="16">
      <c r="A16" t="inlineStr">
        <is>
          <t>RT0015</t>
        </is>
      </c>
      <c r="B16" s="2" t="n">
        <v>46175</v>
      </c>
      <c r="C16" t="inlineStr">
        <is>
          <t>Kavya Joshi</t>
        </is>
      </c>
      <c r="D16" t="inlineStr">
        <is>
          <t>North</t>
        </is>
      </c>
      <c r="E16" t="inlineStr">
        <is>
          <t>P103</t>
        </is>
      </c>
      <c r="F16" t="n">
        <v>2</v>
      </c>
      <c r="G16" s="3" t="n">
        <v>1599</v>
      </c>
      <c r="H16" s="3" t="n">
        <v>3198</v>
      </c>
      <c r="I16" t="inlineStr">
        <is>
          <t>Cash</t>
        </is>
      </c>
      <c r="J16" t="inlineStr">
        <is>
          <t>Store</t>
        </is>
      </c>
      <c r="K16" t="inlineStr">
        <is>
          <t>Pending</t>
        </is>
      </c>
      <c r="L16">
        <f>VLOOKUP(E16,Lookup_Data!$A$2:$D$11,2,FALSE)</f>
        <v/>
      </c>
      <c r="M16" s="3">
        <f>XLOOKUP(E16,Lookup_Data!$A$2:$A$11,Lookup_Data!$D$2:$D$11,"Not Found")</f>
        <v/>
      </c>
      <c r="N16">
        <f>XLOOKUP(E16,Lookup_Data!$A$2:$A$11,Lookup_Data!$C$2:$C$11,"Not Found")</f>
        <v/>
      </c>
      <c r="O16">
        <f>PROPER(TRIM(C16))</f>
        <v/>
      </c>
      <c r="P16">
        <f>IF(H16&gt;=20000,"High Value",IF(H16&gt;=10000,"Medium Value","Standard"))</f>
        <v/>
      </c>
      <c r="Q16">
        <f>IF(K16="Completed","Include","Review")</f>
        <v/>
      </c>
    </row>
    <row r="17">
      <c r="A17" t="inlineStr">
        <is>
          <t>RT0016</t>
        </is>
      </c>
      <c r="B17" s="2" t="n">
        <v>46164</v>
      </c>
      <c r="C17" t="inlineStr">
        <is>
          <t>Priya Nair</t>
        </is>
      </c>
      <c r="D17" t="inlineStr">
        <is>
          <t>North</t>
        </is>
      </c>
      <c r="E17" t="inlineStr">
        <is>
          <t>P108</t>
        </is>
      </c>
      <c r="F17" t="n">
        <v>5</v>
      </c>
      <c r="G17" s="3" t="n">
        <v>4299</v>
      </c>
      <c r="H17" s="3" t="n">
        <v>21495</v>
      </c>
      <c r="I17" t="inlineStr">
        <is>
          <t>UPI</t>
        </is>
      </c>
      <c r="J17" t="inlineStr">
        <is>
          <t>Store</t>
        </is>
      </c>
      <c r="K17" t="inlineStr">
        <is>
          <t>Cancelled</t>
        </is>
      </c>
      <c r="L17">
        <f>VLOOKUP(E17,Lookup_Data!$A$2:$D$11,2,FALSE)</f>
        <v/>
      </c>
      <c r="M17" s="3">
        <f>XLOOKUP(E17,Lookup_Data!$A$2:$A$11,Lookup_Data!$D$2:$D$11,"Not Found")</f>
        <v/>
      </c>
      <c r="N17">
        <f>XLOOKUP(E17,Lookup_Data!$A$2:$A$11,Lookup_Data!$C$2:$C$11,"Not Found")</f>
        <v/>
      </c>
      <c r="O17">
        <f>PROPER(TRIM(C17))</f>
        <v/>
      </c>
      <c r="P17">
        <f>IF(H17&gt;=20000,"High Value",IF(H17&gt;=10000,"Medium Value","Standard"))</f>
        <v/>
      </c>
      <c r="Q17">
        <f>IF(K17="Completed","Include","Review")</f>
        <v/>
      </c>
    </row>
    <row r="18">
      <c r="A18" t="inlineStr">
        <is>
          <t>RT0017</t>
        </is>
      </c>
      <c r="B18" s="2" t="n">
        <v>46134</v>
      </c>
      <c r="C18" t="inlineStr">
        <is>
          <t>Priya Nair</t>
        </is>
      </c>
      <c r="D18" t="inlineStr">
        <is>
          <t>South</t>
        </is>
      </c>
      <c r="E18" t="inlineStr">
        <is>
          <t>P106</t>
        </is>
      </c>
      <c r="F18" t="n">
        <v>1</v>
      </c>
      <c r="G18" s="3" t="n">
        <v>3499</v>
      </c>
      <c r="H18" s="3" t="n">
        <v>3499</v>
      </c>
      <c r="I18" t="inlineStr">
        <is>
          <t>Cash</t>
        </is>
      </c>
      <c r="J18" t="inlineStr">
        <is>
          <t>Online</t>
        </is>
      </c>
      <c r="K18" t="inlineStr">
        <is>
          <t>Cancelled</t>
        </is>
      </c>
      <c r="L18">
        <f>VLOOKUP(E18,Lookup_Data!$A$2:$D$11,2,FALSE)</f>
        <v/>
      </c>
      <c r="M18" s="3">
        <f>XLOOKUP(E18,Lookup_Data!$A$2:$A$11,Lookup_Data!$D$2:$D$11,"Not Found")</f>
        <v/>
      </c>
      <c r="N18">
        <f>XLOOKUP(E18,Lookup_Data!$A$2:$A$11,Lookup_Data!$C$2:$C$11,"Not Found")</f>
        <v/>
      </c>
      <c r="O18">
        <f>PROPER(TRIM(C18))</f>
        <v/>
      </c>
      <c r="P18">
        <f>IF(H18&gt;=20000,"High Value",IF(H18&gt;=10000,"Medium Value","Standard"))</f>
        <v/>
      </c>
      <c r="Q18">
        <f>IF(K18="Completed","Include","Review")</f>
        <v/>
      </c>
    </row>
    <row r="19">
      <c r="A19" t="inlineStr">
        <is>
          <t>RT0018</t>
        </is>
      </c>
      <c r="B19" s="2" t="n">
        <v>46152</v>
      </c>
      <c r="C19" t="inlineStr">
        <is>
          <t>Neha  Kapoor</t>
        </is>
      </c>
      <c r="D19" t="inlineStr">
        <is>
          <t>North</t>
        </is>
      </c>
      <c r="E19" t="inlineStr">
        <is>
          <t>P105</t>
        </is>
      </c>
      <c r="F19" t="n">
        <v>5</v>
      </c>
      <c r="G19" s="3" t="n">
        <v>1299</v>
      </c>
      <c r="H19" s="3" t="n">
        <v>6495</v>
      </c>
      <c r="I19" t="inlineStr">
        <is>
          <t>Net Banking</t>
        </is>
      </c>
      <c r="J19" t="inlineStr">
        <is>
          <t>Online</t>
        </is>
      </c>
      <c r="K19" t="inlineStr">
        <is>
          <t>Completed</t>
        </is>
      </c>
      <c r="L19">
        <f>VLOOKUP(E19,Lookup_Data!$A$2:$D$11,2,FALSE)</f>
        <v/>
      </c>
      <c r="M19" s="3">
        <f>XLOOKUP(E19,Lookup_Data!$A$2:$A$11,Lookup_Data!$D$2:$D$11,"Not Found")</f>
        <v/>
      </c>
      <c r="N19">
        <f>XLOOKUP(E19,Lookup_Data!$A$2:$A$11,Lookup_Data!$C$2:$C$11,"Not Found")</f>
        <v/>
      </c>
      <c r="O19">
        <f>PROPER(TRIM(C19))</f>
        <v/>
      </c>
      <c r="P19">
        <f>IF(H19&gt;=20000,"High Value",IF(H19&gt;=10000,"Medium Value","Standard"))</f>
        <v/>
      </c>
      <c r="Q19">
        <f>IF(K19="Completed","Include","Review")</f>
        <v/>
      </c>
    </row>
    <row r="20">
      <c r="A20" t="inlineStr">
        <is>
          <t>RT0019</t>
        </is>
      </c>
      <c r="B20" s="2" t="n">
        <v>46158</v>
      </c>
      <c r="C20" t="inlineStr">
        <is>
          <t>Meera Iyer</t>
        </is>
      </c>
      <c r="D20" t="inlineStr">
        <is>
          <t>North</t>
        </is>
      </c>
      <c r="E20" t="inlineStr">
        <is>
          <t>P106</t>
        </is>
      </c>
      <c r="F20" t="n">
        <v>2</v>
      </c>
      <c r="G20" s="3" t="n">
        <v>3499</v>
      </c>
      <c r="H20" s="3" t="n">
        <v>6998</v>
      </c>
      <c r="I20" t="inlineStr">
        <is>
          <t>Net Banking</t>
        </is>
      </c>
      <c r="J20" t="inlineStr">
        <is>
          <t>Store</t>
        </is>
      </c>
      <c r="K20" t="inlineStr">
        <is>
          <t>Completed</t>
        </is>
      </c>
      <c r="L20">
        <f>VLOOKUP(E20,Lookup_Data!$A$2:$D$11,2,FALSE)</f>
        <v/>
      </c>
      <c r="M20" s="3">
        <f>XLOOKUP(E20,Lookup_Data!$A$2:$A$11,Lookup_Data!$D$2:$D$11,"Not Found")</f>
        <v/>
      </c>
      <c r="N20">
        <f>XLOOKUP(E20,Lookup_Data!$A$2:$A$11,Lookup_Data!$C$2:$C$11,"Not Found")</f>
        <v/>
      </c>
      <c r="O20">
        <f>PROPER(TRIM(C20))</f>
        <v/>
      </c>
      <c r="P20">
        <f>IF(H20&gt;=20000,"High Value",IF(H20&gt;=10000,"Medium Value","Standard"))</f>
        <v/>
      </c>
      <c r="Q20">
        <f>IF(K20="Completed","Include","Review")</f>
        <v/>
      </c>
    </row>
    <row r="21">
      <c r="A21" t="inlineStr">
        <is>
          <t>RT0020</t>
        </is>
      </c>
      <c r="B21" s="2" t="n">
        <v>46084</v>
      </c>
      <c r="C21" t="inlineStr">
        <is>
          <t>Priya Nair</t>
        </is>
      </c>
      <c r="D21" t="inlineStr">
        <is>
          <t>North</t>
        </is>
      </c>
      <c r="E21" t="inlineStr">
        <is>
          <t>P102</t>
        </is>
      </c>
      <c r="F21" t="n">
        <v>3</v>
      </c>
      <c r="G21" s="3" t="n">
        <v>2499</v>
      </c>
      <c r="H21" s="3" t="n">
        <v>7497</v>
      </c>
      <c r="I21" t="inlineStr">
        <is>
          <t>Card</t>
        </is>
      </c>
      <c r="J21" t="inlineStr">
        <is>
          <t>Online</t>
        </is>
      </c>
      <c r="K21" t="inlineStr">
        <is>
          <t>Completed</t>
        </is>
      </c>
      <c r="L21">
        <f>VLOOKUP(E21,Lookup_Data!$A$2:$D$11,2,FALSE)</f>
        <v/>
      </c>
      <c r="M21" s="3">
        <f>XLOOKUP(E21,Lookup_Data!$A$2:$A$11,Lookup_Data!$D$2:$D$11,"Not Found")</f>
        <v/>
      </c>
      <c r="N21">
        <f>XLOOKUP(E21,Lookup_Data!$A$2:$A$11,Lookup_Data!$C$2:$C$11,"Not Found")</f>
        <v/>
      </c>
      <c r="O21">
        <f>PROPER(TRIM(C21))</f>
        <v/>
      </c>
      <c r="P21">
        <f>IF(H21&gt;=20000,"High Value",IF(H21&gt;=10000,"Medium Value","Standard"))</f>
        <v/>
      </c>
      <c r="Q21">
        <f>IF(K21="Completed","Include","Review")</f>
        <v/>
      </c>
    </row>
    <row r="22">
      <c r="A22" t="inlineStr">
        <is>
          <t>RT0021</t>
        </is>
      </c>
      <c r="B22" s="2" t="n">
        <v>46055</v>
      </c>
      <c r="C22" t="inlineStr">
        <is>
          <t>Meera Iyer</t>
        </is>
      </c>
      <c r="D22" t="inlineStr">
        <is>
          <t>South</t>
        </is>
      </c>
      <c r="E22" t="inlineStr">
        <is>
          <t>P108</t>
        </is>
      </c>
      <c r="F22" t="n">
        <v>1</v>
      </c>
      <c r="G22" s="3" t="n">
        <v>4299</v>
      </c>
      <c r="H22" s="3" t="n">
        <v>4299</v>
      </c>
      <c r="I22" t="inlineStr">
        <is>
          <t>Cash</t>
        </is>
      </c>
      <c r="J22" t="inlineStr">
        <is>
          <t>Online</t>
        </is>
      </c>
      <c r="K22" t="inlineStr">
        <is>
          <t>Completed</t>
        </is>
      </c>
      <c r="L22">
        <f>VLOOKUP(E22,Lookup_Data!$A$2:$D$11,2,FALSE)</f>
        <v/>
      </c>
      <c r="M22" s="3">
        <f>XLOOKUP(E22,Lookup_Data!$A$2:$A$11,Lookup_Data!$D$2:$D$11,"Not Found")</f>
        <v/>
      </c>
      <c r="N22">
        <f>XLOOKUP(E22,Lookup_Data!$A$2:$A$11,Lookup_Data!$C$2:$C$11,"Not Found")</f>
        <v/>
      </c>
      <c r="O22">
        <f>PROPER(TRIM(C22))</f>
        <v/>
      </c>
      <c r="P22">
        <f>IF(H22&gt;=20000,"High Value",IF(H22&gt;=10000,"Medium Value","Standard"))</f>
        <v/>
      </c>
      <c r="Q22">
        <f>IF(K22="Completed","Include","Review")</f>
        <v/>
      </c>
    </row>
    <row r="23">
      <c r="A23" t="inlineStr">
        <is>
          <t>RT0022</t>
        </is>
      </c>
      <c r="B23" s="2" t="n">
        <v>46077</v>
      </c>
      <c r="C23" t="inlineStr">
        <is>
          <t>Kavya Joshi</t>
        </is>
      </c>
      <c r="D23" t="inlineStr">
        <is>
          <t>South</t>
        </is>
      </c>
      <c r="E23" t="inlineStr">
        <is>
          <t>P109</t>
        </is>
      </c>
      <c r="F23" t="n">
        <v>5</v>
      </c>
      <c r="G23" s="3" t="n">
        <v>6999</v>
      </c>
      <c r="H23" s="3" t="n">
        <v>34995</v>
      </c>
      <c r="I23" t="inlineStr">
        <is>
          <t>Net Banking</t>
        </is>
      </c>
      <c r="J23" t="inlineStr">
        <is>
          <t>Store</t>
        </is>
      </c>
      <c r="K23" t="inlineStr">
        <is>
          <t>Cancelled</t>
        </is>
      </c>
      <c r="L23">
        <f>VLOOKUP(E23,Lookup_Data!$A$2:$D$11,2,FALSE)</f>
        <v/>
      </c>
      <c r="M23" s="3">
        <f>XLOOKUP(E23,Lookup_Data!$A$2:$A$11,Lookup_Data!$D$2:$D$11,"Not Found")</f>
        <v/>
      </c>
      <c r="N23">
        <f>XLOOKUP(E23,Lookup_Data!$A$2:$A$11,Lookup_Data!$C$2:$C$11,"Not Found")</f>
        <v/>
      </c>
      <c r="O23">
        <f>PROPER(TRIM(C23))</f>
        <v/>
      </c>
      <c r="P23">
        <f>IF(H23&gt;=20000,"High Value",IF(H23&gt;=10000,"Medium Value","Standard"))</f>
        <v/>
      </c>
      <c r="Q23">
        <f>IF(K23="Completed","Include","Review")</f>
        <v/>
      </c>
    </row>
    <row r="24">
      <c r="A24" t="inlineStr">
        <is>
          <t>RT0023</t>
        </is>
      </c>
      <c r="B24" s="2" t="n">
        <v>46138</v>
      </c>
      <c r="C24" t="inlineStr">
        <is>
          <t>Meera Iyer</t>
        </is>
      </c>
      <c r="D24" t="inlineStr">
        <is>
          <t>North</t>
        </is>
      </c>
      <c r="E24" t="inlineStr">
        <is>
          <t>P106</t>
        </is>
      </c>
      <c r="F24" t="n">
        <v>4</v>
      </c>
      <c r="G24" s="3" t="n">
        <v>3499</v>
      </c>
      <c r="H24" s="3" t="n">
        <v>13996</v>
      </c>
      <c r="I24" t="inlineStr">
        <is>
          <t>Card</t>
        </is>
      </c>
      <c r="J24" t="inlineStr">
        <is>
          <t>Online</t>
        </is>
      </c>
      <c r="K24" t="inlineStr">
        <is>
          <t>Completed</t>
        </is>
      </c>
      <c r="L24">
        <f>VLOOKUP(E24,Lookup_Data!$A$2:$D$11,2,FALSE)</f>
        <v/>
      </c>
      <c r="M24" s="3">
        <f>XLOOKUP(E24,Lookup_Data!$A$2:$A$11,Lookup_Data!$D$2:$D$11,"Not Found")</f>
        <v/>
      </c>
      <c r="N24">
        <f>XLOOKUP(E24,Lookup_Data!$A$2:$A$11,Lookup_Data!$C$2:$C$11,"Not Found")</f>
        <v/>
      </c>
      <c r="O24">
        <f>PROPER(TRIM(C24))</f>
        <v/>
      </c>
      <c r="P24">
        <f>IF(H24&gt;=20000,"High Value",IF(H24&gt;=10000,"Medium Value","Standard"))</f>
        <v/>
      </c>
      <c r="Q24">
        <f>IF(K24="Completed","Include","Review")</f>
        <v/>
      </c>
    </row>
    <row r="25">
      <c r="A25" t="inlineStr">
        <is>
          <t>RT0024</t>
        </is>
      </c>
      <c r="B25" s="2" t="n">
        <v>46164</v>
      </c>
      <c r="C25" t="inlineStr">
        <is>
          <t>Aman Gupta</t>
        </is>
      </c>
      <c r="D25" t="inlineStr">
        <is>
          <t>South</t>
        </is>
      </c>
      <c r="E25" t="inlineStr">
        <is>
          <t>P106</t>
        </is>
      </c>
      <c r="F25" t="n">
        <v>1</v>
      </c>
      <c r="G25" s="3" t="n">
        <v>3499</v>
      </c>
      <c r="H25" s="3" t="n">
        <v>3499</v>
      </c>
      <c r="I25" t="inlineStr">
        <is>
          <t>Card</t>
        </is>
      </c>
      <c r="J25" t="inlineStr">
        <is>
          <t>Online</t>
        </is>
      </c>
      <c r="K25" t="inlineStr">
        <is>
          <t>Completed</t>
        </is>
      </c>
      <c r="L25">
        <f>VLOOKUP(E25,Lookup_Data!$A$2:$D$11,2,FALSE)</f>
        <v/>
      </c>
      <c r="M25" s="3">
        <f>XLOOKUP(E25,Lookup_Data!$A$2:$A$11,Lookup_Data!$D$2:$D$11,"Not Found")</f>
        <v/>
      </c>
      <c r="N25">
        <f>XLOOKUP(E25,Lookup_Data!$A$2:$A$11,Lookup_Data!$C$2:$C$11,"Not Found")</f>
        <v/>
      </c>
      <c r="O25">
        <f>PROPER(TRIM(C25))</f>
        <v/>
      </c>
      <c r="P25">
        <f>IF(H25&gt;=20000,"High Value",IF(H25&gt;=10000,"Medium Value","Standard"))</f>
        <v/>
      </c>
      <c r="Q25">
        <f>IF(K25="Completed","Include","Review")</f>
        <v/>
      </c>
    </row>
    <row r="26">
      <c r="A26" t="inlineStr">
        <is>
          <t>RT0025</t>
        </is>
      </c>
      <c r="B26" s="2" t="n">
        <v>46031</v>
      </c>
      <c r="C26" t="inlineStr">
        <is>
          <t>Rohit Mehta</t>
        </is>
      </c>
      <c r="D26" t="inlineStr">
        <is>
          <t>East</t>
        </is>
      </c>
      <c r="E26" t="inlineStr">
        <is>
          <t>P101</t>
        </is>
      </c>
      <c r="F26" t="n">
        <v>2</v>
      </c>
      <c r="G26" s="3" t="n">
        <v>799</v>
      </c>
      <c r="H26" s="3" t="n">
        <v>1598</v>
      </c>
      <c r="I26" t="inlineStr">
        <is>
          <t>UPI</t>
        </is>
      </c>
      <c r="J26" t="inlineStr">
        <is>
          <t>Online</t>
        </is>
      </c>
      <c r="K26" t="inlineStr">
        <is>
          <t>Completed</t>
        </is>
      </c>
      <c r="L26">
        <f>VLOOKUP(E26,Lookup_Data!$A$2:$D$11,2,FALSE)</f>
        <v/>
      </c>
      <c r="M26" s="3">
        <f>XLOOKUP(E26,Lookup_Data!$A$2:$A$11,Lookup_Data!$D$2:$D$11,"Not Found")</f>
        <v/>
      </c>
      <c r="N26">
        <f>XLOOKUP(E26,Lookup_Data!$A$2:$A$11,Lookup_Data!$C$2:$C$11,"Not Found")</f>
        <v/>
      </c>
      <c r="O26">
        <f>PROPER(TRIM(C26))</f>
        <v/>
      </c>
      <c r="P26">
        <f>IF(H26&gt;=20000,"High Value",IF(H26&gt;=10000,"Medium Value","Standard"))</f>
        <v/>
      </c>
      <c r="Q26">
        <f>IF(K26="Completed","Include","Review")</f>
        <v/>
      </c>
    </row>
    <row r="27">
      <c r="A27" t="inlineStr">
        <is>
          <t>RT0026</t>
        </is>
      </c>
      <c r="B27" s="2" t="n">
        <v>46056</v>
      </c>
      <c r="C27" t="inlineStr">
        <is>
          <t>Meera Iyer</t>
        </is>
      </c>
      <c r="D27" t="inlineStr">
        <is>
          <t>West</t>
        </is>
      </c>
      <c r="E27" t="inlineStr">
        <is>
          <t>P108</t>
        </is>
      </c>
      <c r="F27" t="n">
        <v>2</v>
      </c>
      <c r="G27" s="3" t="n">
        <v>4299</v>
      </c>
      <c r="H27" s="3" t="n">
        <v>8598</v>
      </c>
      <c r="I27" t="inlineStr">
        <is>
          <t>Card</t>
        </is>
      </c>
      <c r="J27" t="inlineStr">
        <is>
          <t>Store</t>
        </is>
      </c>
      <c r="K27" t="inlineStr">
        <is>
          <t>Completed</t>
        </is>
      </c>
      <c r="L27">
        <f>VLOOKUP(E27,Lookup_Data!$A$2:$D$11,2,FALSE)</f>
        <v/>
      </c>
      <c r="M27" s="3">
        <f>XLOOKUP(E27,Lookup_Data!$A$2:$A$11,Lookup_Data!$D$2:$D$11,"Not Found")</f>
        <v/>
      </c>
      <c r="N27">
        <f>XLOOKUP(E27,Lookup_Data!$A$2:$A$11,Lookup_Data!$C$2:$C$11,"Not Found")</f>
        <v/>
      </c>
      <c r="O27">
        <f>PROPER(TRIM(C27))</f>
        <v/>
      </c>
      <c r="P27">
        <f>IF(H27&gt;=20000,"High Value",IF(H27&gt;=10000,"Medium Value","Standard"))</f>
        <v/>
      </c>
      <c r="Q27">
        <f>IF(K27="Completed","Include","Review")</f>
        <v/>
      </c>
    </row>
    <row r="28">
      <c r="A28" t="inlineStr">
        <is>
          <t>RT0027</t>
        </is>
      </c>
      <c r="B28" s="2" t="n">
        <v>46191</v>
      </c>
      <c r="C28" t="inlineStr">
        <is>
          <t>Rohit Mehta</t>
        </is>
      </c>
      <c r="D28" t="inlineStr">
        <is>
          <t>West</t>
        </is>
      </c>
      <c r="E28" t="inlineStr">
        <is>
          <t>P104</t>
        </is>
      </c>
      <c r="F28" t="n">
        <v>1</v>
      </c>
      <c r="G28" s="3" t="n">
        <v>18999</v>
      </c>
      <c r="H28" s="3" t="n">
        <v>18999</v>
      </c>
      <c r="I28" t="inlineStr">
        <is>
          <t>Net Banking</t>
        </is>
      </c>
      <c r="J28" t="inlineStr">
        <is>
          <t>Store</t>
        </is>
      </c>
      <c r="K28" t="inlineStr">
        <is>
          <t>Completed</t>
        </is>
      </c>
      <c r="L28">
        <f>VLOOKUP(E28,Lookup_Data!$A$2:$D$11,2,FALSE)</f>
        <v/>
      </c>
      <c r="M28" s="3">
        <f>XLOOKUP(E28,Lookup_Data!$A$2:$A$11,Lookup_Data!$D$2:$D$11,"Not Found")</f>
        <v/>
      </c>
      <c r="N28">
        <f>XLOOKUP(E28,Lookup_Data!$A$2:$A$11,Lookup_Data!$C$2:$C$11,"Not Found")</f>
        <v/>
      </c>
      <c r="O28">
        <f>PROPER(TRIM(C28))</f>
        <v/>
      </c>
      <c r="P28">
        <f>IF(H28&gt;=20000,"High Value",IF(H28&gt;=10000,"Medium Value","Standard"))</f>
        <v/>
      </c>
      <c r="Q28">
        <f>IF(K28="Completed","Include","Review")</f>
        <v/>
      </c>
    </row>
    <row r="29">
      <c r="A29" t="inlineStr">
        <is>
          <t>RT0028</t>
        </is>
      </c>
      <c r="B29" s="2" t="n">
        <v>46038</v>
      </c>
      <c r="C29" t="inlineStr">
        <is>
          <t>Rohit Mehta</t>
        </is>
      </c>
      <c r="D29" t="inlineStr">
        <is>
          <t>West</t>
        </is>
      </c>
      <c r="E29" t="inlineStr">
        <is>
          <t>P108</t>
        </is>
      </c>
      <c r="F29" t="n">
        <v>1</v>
      </c>
      <c r="G29" s="3" t="n">
        <v>4299</v>
      </c>
      <c r="H29" s="3" t="n">
        <v>4299</v>
      </c>
      <c r="I29" t="inlineStr">
        <is>
          <t>Net Banking</t>
        </is>
      </c>
      <c r="J29" t="inlineStr">
        <is>
          <t>Online</t>
        </is>
      </c>
      <c r="K29" t="inlineStr">
        <is>
          <t>Completed</t>
        </is>
      </c>
      <c r="L29">
        <f>VLOOKUP(E29,Lookup_Data!$A$2:$D$11,2,FALSE)</f>
        <v/>
      </c>
      <c r="M29" s="3">
        <f>XLOOKUP(E29,Lookup_Data!$A$2:$A$11,Lookup_Data!$D$2:$D$11,"Not Found")</f>
        <v/>
      </c>
      <c r="N29">
        <f>XLOOKUP(E29,Lookup_Data!$A$2:$A$11,Lookup_Data!$C$2:$C$11,"Not Found")</f>
        <v/>
      </c>
      <c r="O29">
        <f>PROPER(TRIM(C29))</f>
        <v/>
      </c>
      <c r="P29">
        <f>IF(H29&gt;=20000,"High Value",IF(H29&gt;=10000,"Medium Value","Standard"))</f>
        <v/>
      </c>
      <c r="Q29">
        <f>IF(K29="Completed","Include","Review")</f>
        <v/>
      </c>
    </row>
    <row r="30">
      <c r="A30" t="inlineStr">
        <is>
          <t>RT0029</t>
        </is>
      </c>
      <c r="B30" s="2" t="n">
        <v>46137</v>
      </c>
      <c r="C30" t="inlineStr">
        <is>
          <t>Meera Iyer</t>
        </is>
      </c>
      <c r="D30" t="inlineStr">
        <is>
          <t>South</t>
        </is>
      </c>
      <c r="E30" t="inlineStr">
        <is>
          <t>P104</t>
        </is>
      </c>
      <c r="F30" t="n">
        <v>2</v>
      </c>
      <c r="G30" s="3" t="n">
        <v>18999</v>
      </c>
      <c r="H30" s="3" t="n">
        <v>37998</v>
      </c>
      <c r="I30" t="inlineStr">
        <is>
          <t>Cash</t>
        </is>
      </c>
      <c r="J30" t="inlineStr">
        <is>
          <t>Online</t>
        </is>
      </c>
      <c r="K30" t="inlineStr">
        <is>
          <t>Completed</t>
        </is>
      </c>
      <c r="L30">
        <f>VLOOKUP(E30,Lookup_Data!$A$2:$D$11,2,FALSE)</f>
        <v/>
      </c>
      <c r="M30" s="3">
        <f>XLOOKUP(E30,Lookup_Data!$A$2:$A$11,Lookup_Data!$D$2:$D$11,"Not Found")</f>
        <v/>
      </c>
      <c r="N30">
        <f>XLOOKUP(E30,Lookup_Data!$A$2:$A$11,Lookup_Data!$C$2:$C$11,"Not Found")</f>
        <v/>
      </c>
      <c r="O30">
        <f>PROPER(TRIM(C30))</f>
        <v/>
      </c>
      <c r="P30">
        <f>IF(H30&gt;=20000,"High Value",IF(H30&gt;=10000,"Medium Value","Standard"))</f>
        <v/>
      </c>
      <c r="Q30">
        <f>IF(K30="Completed","Include","Review")</f>
        <v/>
      </c>
    </row>
    <row r="31">
      <c r="A31" t="inlineStr">
        <is>
          <t>RT0030</t>
        </is>
      </c>
      <c r="B31" s="2" t="n">
        <v>46136</v>
      </c>
      <c r="C31" t="inlineStr">
        <is>
          <t>Rohit Mehta</t>
        </is>
      </c>
      <c r="D31" t="inlineStr">
        <is>
          <t>North</t>
        </is>
      </c>
      <c r="E31" t="inlineStr">
        <is>
          <t>P108</t>
        </is>
      </c>
      <c r="F31" t="n">
        <v>2</v>
      </c>
      <c r="G31" s="3" t="n">
        <v>4299</v>
      </c>
      <c r="H31" s="3" t="n">
        <v>8598</v>
      </c>
      <c r="I31" t="inlineStr">
        <is>
          <t>UPI</t>
        </is>
      </c>
      <c r="J31" t="inlineStr">
        <is>
          <t>Online</t>
        </is>
      </c>
      <c r="K31" t="inlineStr">
        <is>
          <t>Completed</t>
        </is>
      </c>
      <c r="L31">
        <f>VLOOKUP(E31,Lookup_Data!$A$2:$D$11,2,FALSE)</f>
        <v/>
      </c>
      <c r="M31" s="3">
        <f>XLOOKUP(E31,Lookup_Data!$A$2:$A$11,Lookup_Data!$D$2:$D$11,"Not Found")</f>
        <v/>
      </c>
      <c r="N31">
        <f>XLOOKUP(E31,Lookup_Data!$A$2:$A$11,Lookup_Data!$C$2:$C$11,"Not Found")</f>
        <v/>
      </c>
      <c r="O31">
        <f>PROPER(TRIM(C31))</f>
        <v/>
      </c>
      <c r="P31">
        <f>IF(H31&gt;=20000,"High Value",IF(H31&gt;=10000,"Medium Value","Standard"))</f>
        <v/>
      </c>
      <c r="Q31">
        <f>IF(K31="Completed","Include","Review")</f>
        <v/>
      </c>
    </row>
    <row r="32">
      <c r="A32" t="inlineStr">
        <is>
          <t>RT0031</t>
        </is>
      </c>
      <c r="B32" s="2" t="n">
        <v>46147</v>
      </c>
      <c r="C32" t="inlineStr">
        <is>
          <t>Kavya Joshi</t>
        </is>
      </c>
      <c r="D32" t="inlineStr">
        <is>
          <t>West</t>
        </is>
      </c>
      <c r="E32" t="inlineStr">
        <is>
          <t>P104</t>
        </is>
      </c>
      <c r="F32" t="n">
        <v>2</v>
      </c>
      <c r="G32" s="3" t="n">
        <v>18999</v>
      </c>
      <c r="H32" s="3" t="n">
        <v>37998</v>
      </c>
      <c r="I32" t="inlineStr">
        <is>
          <t>Card</t>
        </is>
      </c>
      <c r="J32" t="inlineStr">
        <is>
          <t>Store</t>
        </is>
      </c>
      <c r="K32" t="inlineStr">
        <is>
          <t>Completed</t>
        </is>
      </c>
      <c r="L32">
        <f>VLOOKUP(E32,Lookup_Data!$A$2:$D$11,2,FALSE)</f>
        <v/>
      </c>
      <c r="M32" s="3">
        <f>XLOOKUP(E32,Lookup_Data!$A$2:$A$11,Lookup_Data!$D$2:$D$11,"Not Found")</f>
        <v/>
      </c>
      <c r="N32">
        <f>XLOOKUP(E32,Lookup_Data!$A$2:$A$11,Lookup_Data!$C$2:$C$11,"Not Found")</f>
        <v/>
      </c>
      <c r="O32">
        <f>PROPER(TRIM(C32))</f>
        <v/>
      </c>
      <c r="P32">
        <f>IF(H32&gt;=20000,"High Value",IF(H32&gt;=10000,"Medium Value","Standard"))</f>
        <v/>
      </c>
      <c r="Q32">
        <f>IF(K32="Completed","Include","Review")</f>
        <v/>
      </c>
    </row>
    <row r="33">
      <c r="A33" t="inlineStr">
        <is>
          <t>RT0032</t>
        </is>
      </c>
      <c r="B33" s="2" t="n">
        <v>46122</v>
      </c>
      <c r="C33" t="inlineStr">
        <is>
          <t xml:space="preserve">  anita sharma  </t>
        </is>
      </c>
      <c r="D33" t="inlineStr">
        <is>
          <t>East</t>
        </is>
      </c>
      <c r="E33" t="inlineStr">
        <is>
          <t>P103</t>
        </is>
      </c>
      <c r="F33" t="n">
        <v>4</v>
      </c>
      <c r="G33" s="3" t="n">
        <v>1599</v>
      </c>
      <c r="H33" s="3" t="n">
        <v>6396</v>
      </c>
      <c r="I33" t="inlineStr">
        <is>
          <t>Cash</t>
        </is>
      </c>
      <c r="J33" t="inlineStr">
        <is>
          <t>Store</t>
        </is>
      </c>
      <c r="K33" t="inlineStr">
        <is>
          <t>Completed</t>
        </is>
      </c>
      <c r="L33">
        <f>VLOOKUP(E33,Lookup_Data!$A$2:$D$11,2,FALSE)</f>
        <v/>
      </c>
      <c r="M33" s="3">
        <f>XLOOKUP(E33,Lookup_Data!$A$2:$A$11,Lookup_Data!$D$2:$D$11,"Not Found")</f>
        <v/>
      </c>
      <c r="N33">
        <f>XLOOKUP(E33,Lookup_Data!$A$2:$A$11,Lookup_Data!$C$2:$C$11,"Not Found")</f>
        <v/>
      </c>
      <c r="O33">
        <f>PROPER(TRIM(C33))</f>
        <v/>
      </c>
      <c r="P33">
        <f>IF(H33&gt;=20000,"High Value",IF(H33&gt;=10000,"Medium Value","Standard"))</f>
        <v/>
      </c>
      <c r="Q33">
        <f>IF(K33="Completed","Include","Review")</f>
        <v/>
      </c>
    </row>
    <row r="34">
      <c r="A34" t="inlineStr">
        <is>
          <t>RT0033</t>
        </is>
      </c>
      <c r="B34" s="2" t="n">
        <v>46071</v>
      </c>
      <c r="C34" t="inlineStr">
        <is>
          <t>Neha  Kapoor</t>
        </is>
      </c>
      <c r="D34" t="inlineStr">
        <is>
          <t>East</t>
        </is>
      </c>
      <c r="E34" t="inlineStr">
        <is>
          <t>P109</t>
        </is>
      </c>
      <c r="F34" t="n">
        <v>4</v>
      </c>
      <c r="G34" s="3" t="n">
        <v>6999</v>
      </c>
      <c r="H34" s="3" t="n">
        <v>27996</v>
      </c>
      <c r="I34" t="inlineStr">
        <is>
          <t>Card</t>
        </is>
      </c>
      <c r="J34" t="inlineStr">
        <is>
          <t>Online</t>
        </is>
      </c>
      <c r="K34" t="inlineStr">
        <is>
          <t>Pending</t>
        </is>
      </c>
      <c r="L34">
        <f>VLOOKUP(E34,Lookup_Data!$A$2:$D$11,2,FALSE)</f>
        <v/>
      </c>
      <c r="M34" s="3">
        <f>XLOOKUP(E34,Lookup_Data!$A$2:$A$11,Lookup_Data!$D$2:$D$11,"Not Found")</f>
        <v/>
      </c>
      <c r="N34">
        <f>XLOOKUP(E34,Lookup_Data!$A$2:$A$11,Lookup_Data!$C$2:$C$11,"Not Found")</f>
        <v/>
      </c>
      <c r="O34">
        <f>PROPER(TRIM(C34))</f>
        <v/>
      </c>
      <c r="P34">
        <f>IF(H34&gt;=20000,"High Value",IF(H34&gt;=10000,"Medium Value","Standard"))</f>
        <v/>
      </c>
      <c r="Q34">
        <f>IF(K34="Completed","Include","Review")</f>
        <v/>
      </c>
    </row>
    <row r="35">
      <c r="A35" t="inlineStr">
        <is>
          <t>RT0034</t>
        </is>
      </c>
      <c r="B35" s="2" t="n">
        <v>46037</v>
      </c>
      <c r="C35" t="inlineStr">
        <is>
          <t>Arjun Patel</t>
        </is>
      </c>
      <c r="D35" t="inlineStr">
        <is>
          <t>North</t>
        </is>
      </c>
      <c r="E35" t="inlineStr">
        <is>
          <t>P109</t>
        </is>
      </c>
      <c r="F35" t="n">
        <v>1</v>
      </c>
      <c r="G35" s="3" t="n">
        <v>6999</v>
      </c>
      <c r="H35" s="3" t="n">
        <v>6999</v>
      </c>
      <c r="I35" t="inlineStr">
        <is>
          <t>Cash</t>
        </is>
      </c>
      <c r="J35" t="inlineStr">
        <is>
          <t>Online</t>
        </is>
      </c>
      <c r="K35" t="inlineStr">
        <is>
          <t>Completed</t>
        </is>
      </c>
      <c r="L35">
        <f>VLOOKUP(E35,Lookup_Data!$A$2:$D$11,2,FALSE)</f>
        <v/>
      </c>
      <c r="M35" s="3">
        <f>XLOOKUP(E35,Lookup_Data!$A$2:$A$11,Lookup_Data!$D$2:$D$11,"Not Found")</f>
        <v/>
      </c>
      <c r="N35">
        <f>XLOOKUP(E35,Lookup_Data!$A$2:$A$11,Lookup_Data!$C$2:$C$11,"Not Found")</f>
        <v/>
      </c>
      <c r="O35">
        <f>PROPER(TRIM(C35))</f>
        <v/>
      </c>
      <c r="P35">
        <f>IF(H35&gt;=20000,"High Value",IF(H35&gt;=10000,"Medium Value","Standard"))</f>
        <v/>
      </c>
      <c r="Q35">
        <f>IF(K35="Completed","Include","Review")</f>
        <v/>
      </c>
    </row>
    <row r="36">
      <c r="A36" t="inlineStr">
        <is>
          <t>RT0035</t>
        </is>
      </c>
      <c r="B36" s="2" t="n">
        <v>46040</v>
      </c>
      <c r="C36" t="inlineStr">
        <is>
          <t>Neha  Kapoor</t>
        </is>
      </c>
      <c r="D36" t="inlineStr">
        <is>
          <t>North</t>
        </is>
      </c>
      <c r="E36" t="inlineStr">
        <is>
          <t>P109</t>
        </is>
      </c>
      <c r="F36" t="n">
        <v>1</v>
      </c>
      <c r="G36" s="3" t="n">
        <v>6999</v>
      </c>
      <c r="H36" s="3" t="n">
        <v>6999</v>
      </c>
      <c r="I36" t="inlineStr">
        <is>
          <t>Card</t>
        </is>
      </c>
      <c r="J36" t="inlineStr">
        <is>
          <t>Store</t>
        </is>
      </c>
      <c r="K36" t="inlineStr">
        <is>
          <t>Completed</t>
        </is>
      </c>
      <c r="L36">
        <f>VLOOKUP(E36,Lookup_Data!$A$2:$D$11,2,FALSE)</f>
        <v/>
      </c>
      <c r="M36" s="3">
        <f>XLOOKUP(E36,Lookup_Data!$A$2:$A$11,Lookup_Data!$D$2:$D$11,"Not Found")</f>
        <v/>
      </c>
      <c r="N36">
        <f>XLOOKUP(E36,Lookup_Data!$A$2:$A$11,Lookup_Data!$C$2:$C$11,"Not Found")</f>
        <v/>
      </c>
      <c r="O36">
        <f>PROPER(TRIM(C36))</f>
        <v/>
      </c>
      <c r="P36">
        <f>IF(H36&gt;=20000,"High Value",IF(H36&gt;=10000,"Medium Value","Standard"))</f>
        <v/>
      </c>
      <c r="Q36">
        <f>IF(K36="Completed","Include","Review")</f>
        <v/>
      </c>
    </row>
    <row r="37">
      <c r="A37" t="inlineStr">
        <is>
          <t>RT0036</t>
        </is>
      </c>
      <c r="B37" s="2" t="n">
        <v>46175</v>
      </c>
      <c r="C37" t="inlineStr">
        <is>
          <t>Aman Gupta</t>
        </is>
      </c>
      <c r="D37" t="inlineStr">
        <is>
          <t>North</t>
        </is>
      </c>
      <c r="E37" t="inlineStr">
        <is>
          <t>P110</t>
        </is>
      </c>
      <c r="F37" t="n">
        <v>2</v>
      </c>
      <c r="G37" s="3" t="n">
        <v>5899</v>
      </c>
      <c r="H37" s="3" t="n">
        <v>11798</v>
      </c>
      <c r="I37" t="inlineStr">
        <is>
          <t>UPI</t>
        </is>
      </c>
      <c r="J37" t="inlineStr">
        <is>
          <t>Store</t>
        </is>
      </c>
      <c r="K37" t="inlineStr">
        <is>
          <t>Cancelled</t>
        </is>
      </c>
      <c r="L37">
        <f>VLOOKUP(E37,Lookup_Data!$A$2:$D$11,2,FALSE)</f>
        <v/>
      </c>
      <c r="M37" s="3">
        <f>XLOOKUP(E37,Lookup_Data!$A$2:$A$11,Lookup_Data!$D$2:$D$11,"Not Found")</f>
        <v/>
      </c>
      <c r="N37">
        <f>XLOOKUP(E37,Lookup_Data!$A$2:$A$11,Lookup_Data!$C$2:$C$11,"Not Found")</f>
        <v/>
      </c>
      <c r="O37">
        <f>PROPER(TRIM(C37))</f>
        <v/>
      </c>
      <c r="P37">
        <f>IF(H37&gt;=20000,"High Value",IF(H37&gt;=10000,"Medium Value","Standard"))</f>
        <v/>
      </c>
      <c r="Q37">
        <f>IF(K37="Completed","Include","Review")</f>
        <v/>
      </c>
    </row>
    <row r="38">
      <c r="A38" t="inlineStr">
        <is>
          <t>RT0037</t>
        </is>
      </c>
      <c r="B38" s="2" t="n">
        <v>46103</v>
      </c>
      <c r="C38" t="inlineStr">
        <is>
          <t>Meera Iyer</t>
        </is>
      </c>
      <c r="D38" t="inlineStr">
        <is>
          <t>East</t>
        </is>
      </c>
      <c r="E38" t="inlineStr">
        <is>
          <t>P110</t>
        </is>
      </c>
      <c r="F38" t="n">
        <v>5</v>
      </c>
      <c r="G38" s="3" t="n">
        <v>5899</v>
      </c>
      <c r="H38" s="3" t="n">
        <v>29495</v>
      </c>
      <c r="I38" t="inlineStr">
        <is>
          <t>Card</t>
        </is>
      </c>
      <c r="J38" t="inlineStr">
        <is>
          <t>Store</t>
        </is>
      </c>
      <c r="K38" t="inlineStr">
        <is>
          <t>Completed</t>
        </is>
      </c>
      <c r="L38">
        <f>VLOOKUP(E38,Lookup_Data!$A$2:$D$11,2,FALSE)</f>
        <v/>
      </c>
      <c r="M38" s="3">
        <f>XLOOKUP(E38,Lookup_Data!$A$2:$A$11,Lookup_Data!$D$2:$D$11,"Not Found")</f>
        <v/>
      </c>
      <c r="N38">
        <f>XLOOKUP(E38,Lookup_Data!$A$2:$A$11,Lookup_Data!$C$2:$C$11,"Not Found")</f>
        <v/>
      </c>
      <c r="O38">
        <f>PROPER(TRIM(C38))</f>
        <v/>
      </c>
      <c r="P38">
        <f>IF(H38&gt;=20000,"High Value",IF(H38&gt;=10000,"Medium Value","Standard"))</f>
        <v/>
      </c>
      <c r="Q38">
        <f>IF(K38="Completed","Include","Review")</f>
        <v/>
      </c>
    </row>
    <row r="39">
      <c r="A39" t="inlineStr">
        <is>
          <t>RT0038</t>
        </is>
      </c>
      <c r="B39" s="2" t="n">
        <v>46194</v>
      </c>
      <c r="C39" t="inlineStr">
        <is>
          <t>Neha  Kapoor</t>
        </is>
      </c>
      <c r="D39" t="inlineStr">
        <is>
          <t>East</t>
        </is>
      </c>
      <c r="E39" t="inlineStr">
        <is>
          <t>P105</t>
        </is>
      </c>
      <c r="F39" t="n">
        <v>4</v>
      </c>
      <c r="G39" s="3" t="n">
        <v>1299</v>
      </c>
      <c r="H39" s="3" t="n">
        <v>5196</v>
      </c>
      <c r="I39" t="inlineStr">
        <is>
          <t>Cash</t>
        </is>
      </c>
      <c r="J39" t="inlineStr">
        <is>
          <t>Store</t>
        </is>
      </c>
      <c r="K39" t="inlineStr">
        <is>
          <t>Completed</t>
        </is>
      </c>
      <c r="L39">
        <f>VLOOKUP(E39,Lookup_Data!$A$2:$D$11,2,FALSE)</f>
        <v/>
      </c>
      <c r="M39" s="3">
        <f>XLOOKUP(E39,Lookup_Data!$A$2:$A$11,Lookup_Data!$D$2:$D$11,"Not Found")</f>
        <v/>
      </c>
      <c r="N39">
        <f>XLOOKUP(E39,Lookup_Data!$A$2:$A$11,Lookup_Data!$C$2:$C$11,"Not Found")</f>
        <v/>
      </c>
      <c r="O39">
        <f>PROPER(TRIM(C39))</f>
        <v/>
      </c>
      <c r="P39">
        <f>IF(H39&gt;=20000,"High Value",IF(H39&gt;=10000,"Medium Value","Standard"))</f>
        <v/>
      </c>
      <c r="Q39">
        <f>IF(K39="Completed","Include","Review")</f>
        <v/>
      </c>
    </row>
    <row r="40">
      <c r="A40" t="inlineStr">
        <is>
          <t>RT0039</t>
        </is>
      </c>
      <c r="B40" s="2" t="n">
        <v>46167</v>
      </c>
      <c r="C40" t="inlineStr">
        <is>
          <t>Aman Gupta</t>
        </is>
      </c>
      <c r="D40" t="inlineStr">
        <is>
          <t>North</t>
        </is>
      </c>
      <c r="E40" t="inlineStr">
        <is>
          <t>P101</t>
        </is>
      </c>
      <c r="F40" t="n">
        <v>4</v>
      </c>
      <c r="G40" s="3" t="n">
        <v>799</v>
      </c>
      <c r="H40" s="3" t="n">
        <v>3196</v>
      </c>
      <c r="I40" t="inlineStr">
        <is>
          <t>UPI</t>
        </is>
      </c>
      <c r="J40" t="inlineStr">
        <is>
          <t>Online</t>
        </is>
      </c>
      <c r="K40" t="inlineStr">
        <is>
          <t>Pending</t>
        </is>
      </c>
      <c r="L40">
        <f>VLOOKUP(E40,Lookup_Data!$A$2:$D$11,2,FALSE)</f>
        <v/>
      </c>
      <c r="M40" s="3">
        <f>XLOOKUP(E40,Lookup_Data!$A$2:$A$11,Lookup_Data!$D$2:$D$11,"Not Found")</f>
        <v/>
      </c>
      <c r="N40">
        <f>XLOOKUP(E40,Lookup_Data!$A$2:$A$11,Lookup_Data!$C$2:$C$11,"Not Found")</f>
        <v/>
      </c>
      <c r="O40">
        <f>PROPER(TRIM(C40))</f>
        <v/>
      </c>
      <c r="P40">
        <f>IF(H40&gt;=20000,"High Value",IF(H40&gt;=10000,"Medium Value","Standard"))</f>
        <v/>
      </c>
      <c r="Q40">
        <f>IF(K40="Completed","Include","Review")</f>
        <v/>
      </c>
    </row>
    <row r="41">
      <c r="A41" t="inlineStr">
        <is>
          <t>RT0040</t>
        </is>
      </c>
      <c r="B41" s="2" t="n">
        <v>46040</v>
      </c>
      <c r="C41" t="inlineStr">
        <is>
          <t>Arjun Patel</t>
        </is>
      </c>
      <c r="D41" t="inlineStr">
        <is>
          <t>South</t>
        </is>
      </c>
      <c r="E41" t="inlineStr">
        <is>
          <t>P105</t>
        </is>
      </c>
      <c r="F41" t="n">
        <v>2</v>
      </c>
      <c r="G41" s="3" t="n">
        <v>1299</v>
      </c>
      <c r="H41" s="3" t="n">
        <v>2598</v>
      </c>
      <c r="I41" t="inlineStr">
        <is>
          <t>Net Banking</t>
        </is>
      </c>
      <c r="J41" t="inlineStr">
        <is>
          <t>Store</t>
        </is>
      </c>
      <c r="K41" t="inlineStr">
        <is>
          <t>Completed</t>
        </is>
      </c>
      <c r="L41">
        <f>VLOOKUP(E41,Lookup_Data!$A$2:$D$11,2,FALSE)</f>
        <v/>
      </c>
      <c r="M41" s="3">
        <f>XLOOKUP(E41,Lookup_Data!$A$2:$A$11,Lookup_Data!$D$2:$D$11,"Not Found")</f>
        <v/>
      </c>
      <c r="N41">
        <f>XLOOKUP(E41,Lookup_Data!$A$2:$A$11,Lookup_Data!$C$2:$C$11,"Not Found")</f>
        <v/>
      </c>
      <c r="O41">
        <f>PROPER(TRIM(C41))</f>
        <v/>
      </c>
      <c r="P41">
        <f>IF(H41&gt;=20000,"High Value",IF(H41&gt;=10000,"Medium Value","Standard"))</f>
        <v/>
      </c>
      <c r="Q41">
        <f>IF(K41="Completed","Include","Review")</f>
        <v/>
      </c>
    </row>
    <row r="42">
      <c r="A42" t="inlineStr">
        <is>
          <t>RT0041</t>
        </is>
      </c>
      <c r="B42" s="2" t="n">
        <v>46179</v>
      </c>
      <c r="C42" t="inlineStr">
        <is>
          <t>Priya Nair</t>
        </is>
      </c>
      <c r="D42" t="inlineStr">
        <is>
          <t>North</t>
        </is>
      </c>
      <c r="E42" t="inlineStr">
        <is>
          <t>P108</t>
        </is>
      </c>
      <c r="F42" t="n">
        <v>5</v>
      </c>
      <c r="G42" s="3" t="n">
        <v>4299</v>
      </c>
      <c r="H42" s="3" t="n">
        <v>21495</v>
      </c>
      <c r="I42" t="inlineStr">
        <is>
          <t>Net Banking</t>
        </is>
      </c>
      <c r="J42" t="inlineStr">
        <is>
          <t>Online</t>
        </is>
      </c>
      <c r="K42" t="inlineStr">
        <is>
          <t>Completed</t>
        </is>
      </c>
      <c r="L42">
        <f>VLOOKUP(E42,Lookup_Data!$A$2:$D$11,2,FALSE)</f>
        <v/>
      </c>
      <c r="M42" s="3">
        <f>XLOOKUP(E42,Lookup_Data!$A$2:$A$11,Lookup_Data!$D$2:$D$11,"Not Found")</f>
        <v/>
      </c>
      <c r="N42">
        <f>XLOOKUP(E42,Lookup_Data!$A$2:$A$11,Lookup_Data!$C$2:$C$11,"Not Found")</f>
        <v/>
      </c>
      <c r="O42">
        <f>PROPER(TRIM(C42))</f>
        <v/>
      </c>
      <c r="P42">
        <f>IF(H42&gt;=20000,"High Value",IF(H42&gt;=10000,"Medium Value","Standard"))</f>
        <v/>
      </c>
      <c r="Q42">
        <f>IF(K42="Completed","Include","Review")</f>
        <v/>
      </c>
    </row>
    <row r="43">
      <c r="A43" t="inlineStr">
        <is>
          <t>RT0042</t>
        </is>
      </c>
      <c r="B43" s="2" t="n">
        <v>46164</v>
      </c>
      <c r="C43" t="inlineStr">
        <is>
          <t>Rohit Mehta</t>
        </is>
      </c>
      <c r="D43" t="inlineStr">
        <is>
          <t>South</t>
        </is>
      </c>
      <c r="E43" t="inlineStr">
        <is>
          <t>P105</t>
        </is>
      </c>
      <c r="F43" t="n">
        <v>1</v>
      </c>
      <c r="G43" s="3" t="n">
        <v>1299</v>
      </c>
      <c r="H43" s="3" t="n">
        <v>1299</v>
      </c>
      <c r="I43" t="inlineStr">
        <is>
          <t>Net Banking</t>
        </is>
      </c>
      <c r="J43" t="inlineStr">
        <is>
          <t>Store</t>
        </is>
      </c>
      <c r="K43" t="inlineStr">
        <is>
          <t>Pending</t>
        </is>
      </c>
      <c r="L43">
        <f>VLOOKUP(E43,Lookup_Data!$A$2:$D$11,2,FALSE)</f>
        <v/>
      </c>
      <c r="M43" s="3">
        <f>XLOOKUP(E43,Lookup_Data!$A$2:$A$11,Lookup_Data!$D$2:$D$11,"Not Found")</f>
        <v/>
      </c>
      <c r="N43">
        <f>XLOOKUP(E43,Lookup_Data!$A$2:$A$11,Lookup_Data!$C$2:$C$11,"Not Found")</f>
        <v/>
      </c>
      <c r="O43">
        <f>PROPER(TRIM(C43))</f>
        <v/>
      </c>
      <c r="P43">
        <f>IF(H43&gt;=20000,"High Value",IF(H43&gt;=10000,"Medium Value","Standard"))</f>
        <v/>
      </c>
      <c r="Q43">
        <f>IF(K43="Completed","Include","Review")</f>
        <v/>
      </c>
    </row>
    <row r="44">
      <c r="A44" t="inlineStr">
        <is>
          <t>RT0043</t>
        </is>
      </c>
      <c r="B44" s="2" t="n">
        <v>46198</v>
      </c>
      <c r="C44" t="inlineStr">
        <is>
          <t xml:space="preserve">  Vivek Singh</t>
        </is>
      </c>
      <c r="D44" t="inlineStr">
        <is>
          <t>East</t>
        </is>
      </c>
      <c r="E44" t="inlineStr">
        <is>
          <t>P104</t>
        </is>
      </c>
      <c r="F44" t="n">
        <v>3</v>
      </c>
      <c r="G44" s="3" t="n">
        <v>18999</v>
      </c>
      <c r="H44" s="3" t="n">
        <v>56997</v>
      </c>
      <c r="I44" t="inlineStr">
        <is>
          <t>Cash</t>
        </is>
      </c>
      <c r="J44" t="inlineStr">
        <is>
          <t>Store</t>
        </is>
      </c>
      <c r="K44" t="inlineStr">
        <is>
          <t>Completed</t>
        </is>
      </c>
      <c r="L44">
        <f>VLOOKUP(E44,Lookup_Data!$A$2:$D$11,2,FALSE)</f>
        <v/>
      </c>
      <c r="M44" s="3">
        <f>XLOOKUP(E44,Lookup_Data!$A$2:$A$11,Lookup_Data!$D$2:$D$11,"Not Found")</f>
        <v/>
      </c>
      <c r="N44">
        <f>XLOOKUP(E44,Lookup_Data!$A$2:$A$11,Lookup_Data!$C$2:$C$11,"Not Found")</f>
        <v/>
      </c>
      <c r="O44">
        <f>PROPER(TRIM(C44))</f>
        <v/>
      </c>
      <c r="P44">
        <f>IF(H44&gt;=20000,"High Value",IF(H44&gt;=10000,"Medium Value","Standard"))</f>
        <v/>
      </c>
      <c r="Q44">
        <f>IF(K44="Completed","Include","Review")</f>
        <v/>
      </c>
    </row>
    <row r="45">
      <c r="A45" t="inlineStr">
        <is>
          <t>RT0044</t>
        </is>
      </c>
      <c r="B45" s="2" t="n">
        <v>46034</v>
      </c>
      <c r="C45" t="inlineStr">
        <is>
          <t>Priya Nair</t>
        </is>
      </c>
      <c r="D45" t="inlineStr">
        <is>
          <t>North</t>
        </is>
      </c>
      <c r="E45" t="inlineStr">
        <is>
          <t>P102</t>
        </is>
      </c>
      <c r="F45" t="n">
        <v>4</v>
      </c>
      <c r="G45" s="3" t="n">
        <v>2499</v>
      </c>
      <c r="H45" s="3" t="n">
        <v>9996</v>
      </c>
      <c r="I45" t="inlineStr">
        <is>
          <t>Net Banking</t>
        </is>
      </c>
      <c r="J45" t="inlineStr">
        <is>
          <t>Online</t>
        </is>
      </c>
      <c r="K45" t="inlineStr">
        <is>
          <t>Cancelled</t>
        </is>
      </c>
      <c r="L45">
        <f>VLOOKUP(E45,Lookup_Data!$A$2:$D$11,2,FALSE)</f>
        <v/>
      </c>
      <c r="M45" s="3">
        <f>XLOOKUP(E45,Lookup_Data!$A$2:$A$11,Lookup_Data!$D$2:$D$11,"Not Found")</f>
        <v/>
      </c>
      <c r="N45">
        <f>XLOOKUP(E45,Lookup_Data!$A$2:$A$11,Lookup_Data!$C$2:$C$11,"Not Found")</f>
        <v/>
      </c>
      <c r="O45">
        <f>PROPER(TRIM(C45))</f>
        <v/>
      </c>
      <c r="P45">
        <f>IF(H45&gt;=20000,"High Value",IF(H45&gt;=10000,"Medium Value","Standard"))</f>
        <v/>
      </c>
      <c r="Q45">
        <f>IF(K45="Completed","Include","Review")</f>
        <v/>
      </c>
    </row>
    <row r="46">
      <c r="A46" t="inlineStr">
        <is>
          <t>RT0045</t>
        </is>
      </c>
      <c r="B46" s="2" t="n">
        <v>46164</v>
      </c>
      <c r="C46" t="inlineStr">
        <is>
          <t>Sanjay Verma</t>
        </is>
      </c>
      <c r="D46" t="inlineStr">
        <is>
          <t>West</t>
        </is>
      </c>
      <c r="E46" t="inlineStr">
        <is>
          <t>P105</t>
        </is>
      </c>
      <c r="F46" t="n">
        <v>2</v>
      </c>
      <c r="G46" s="3" t="n">
        <v>1299</v>
      </c>
      <c r="H46" s="3" t="n">
        <v>2598</v>
      </c>
      <c r="I46" t="inlineStr">
        <is>
          <t>UPI</t>
        </is>
      </c>
      <c r="J46" t="inlineStr">
        <is>
          <t>Online</t>
        </is>
      </c>
      <c r="K46" t="inlineStr">
        <is>
          <t>Completed</t>
        </is>
      </c>
      <c r="L46">
        <f>VLOOKUP(E46,Lookup_Data!$A$2:$D$11,2,FALSE)</f>
        <v/>
      </c>
      <c r="M46" s="3">
        <f>XLOOKUP(E46,Lookup_Data!$A$2:$A$11,Lookup_Data!$D$2:$D$11,"Not Found")</f>
        <v/>
      </c>
      <c r="N46">
        <f>XLOOKUP(E46,Lookup_Data!$A$2:$A$11,Lookup_Data!$C$2:$C$11,"Not Found")</f>
        <v/>
      </c>
      <c r="O46">
        <f>PROPER(TRIM(C46))</f>
        <v/>
      </c>
      <c r="P46">
        <f>IF(H46&gt;=20000,"High Value",IF(H46&gt;=10000,"Medium Value","Standard"))</f>
        <v/>
      </c>
      <c r="Q46">
        <f>IF(K46="Completed","Include","Review")</f>
        <v/>
      </c>
    </row>
    <row r="47">
      <c r="A47" t="inlineStr">
        <is>
          <t>RT0046</t>
        </is>
      </c>
      <c r="B47" s="2" t="n">
        <v>46117</v>
      </c>
      <c r="C47" t="inlineStr">
        <is>
          <t xml:space="preserve">  anita sharma  </t>
        </is>
      </c>
      <c r="D47" t="inlineStr">
        <is>
          <t>South</t>
        </is>
      </c>
      <c r="E47" t="inlineStr">
        <is>
          <t>P103</t>
        </is>
      </c>
      <c r="F47" t="n">
        <v>5</v>
      </c>
      <c r="G47" s="3" t="n">
        <v>1599</v>
      </c>
      <c r="H47" s="3" t="n">
        <v>7995</v>
      </c>
      <c r="I47" t="inlineStr">
        <is>
          <t>Cash</t>
        </is>
      </c>
      <c r="J47" t="inlineStr">
        <is>
          <t>Online</t>
        </is>
      </c>
      <c r="K47" t="inlineStr">
        <is>
          <t>Completed</t>
        </is>
      </c>
      <c r="L47">
        <f>VLOOKUP(E47,Lookup_Data!$A$2:$D$11,2,FALSE)</f>
        <v/>
      </c>
      <c r="M47" s="3">
        <f>XLOOKUP(E47,Lookup_Data!$A$2:$A$11,Lookup_Data!$D$2:$D$11,"Not Found")</f>
        <v/>
      </c>
      <c r="N47">
        <f>XLOOKUP(E47,Lookup_Data!$A$2:$A$11,Lookup_Data!$C$2:$C$11,"Not Found")</f>
        <v/>
      </c>
      <c r="O47">
        <f>PROPER(TRIM(C47))</f>
        <v/>
      </c>
      <c r="P47">
        <f>IF(H47&gt;=20000,"High Value",IF(H47&gt;=10000,"Medium Value","Standard"))</f>
        <v/>
      </c>
      <c r="Q47">
        <f>IF(K47="Completed","Include","Review")</f>
        <v/>
      </c>
    </row>
    <row r="48">
      <c r="A48" t="inlineStr">
        <is>
          <t>RT0047</t>
        </is>
      </c>
      <c r="B48" s="2" t="n">
        <v>46114</v>
      </c>
      <c r="C48" t="inlineStr">
        <is>
          <t xml:space="preserve">  anita sharma  </t>
        </is>
      </c>
      <c r="D48" t="inlineStr">
        <is>
          <t>South</t>
        </is>
      </c>
      <c r="E48" t="inlineStr">
        <is>
          <t>P105</t>
        </is>
      </c>
      <c r="F48" t="n">
        <v>3</v>
      </c>
      <c r="G48" s="3" t="n">
        <v>1299</v>
      </c>
      <c r="H48" s="3" t="n">
        <v>3897</v>
      </c>
      <c r="I48" t="inlineStr">
        <is>
          <t>Card</t>
        </is>
      </c>
      <c r="J48" t="inlineStr">
        <is>
          <t>Online</t>
        </is>
      </c>
      <c r="K48" t="inlineStr">
        <is>
          <t>Completed</t>
        </is>
      </c>
      <c r="L48">
        <f>VLOOKUP(E48,Lookup_Data!$A$2:$D$11,2,FALSE)</f>
        <v/>
      </c>
      <c r="M48" s="3">
        <f>XLOOKUP(E48,Lookup_Data!$A$2:$A$11,Lookup_Data!$D$2:$D$11,"Not Found")</f>
        <v/>
      </c>
      <c r="N48">
        <f>XLOOKUP(E48,Lookup_Data!$A$2:$A$11,Lookup_Data!$C$2:$C$11,"Not Found")</f>
        <v/>
      </c>
      <c r="O48">
        <f>PROPER(TRIM(C48))</f>
        <v/>
      </c>
      <c r="P48">
        <f>IF(H48&gt;=20000,"High Value",IF(H48&gt;=10000,"Medium Value","Standard"))</f>
        <v/>
      </c>
      <c r="Q48">
        <f>IF(K48="Completed","Include","Review")</f>
        <v/>
      </c>
    </row>
    <row r="49">
      <c r="A49" t="inlineStr">
        <is>
          <t>RT0048</t>
        </is>
      </c>
      <c r="B49" s="2" t="n">
        <v>46062</v>
      </c>
      <c r="C49" t="inlineStr">
        <is>
          <t>Aman Gupta</t>
        </is>
      </c>
      <c r="D49" t="inlineStr">
        <is>
          <t>South</t>
        </is>
      </c>
      <c r="E49" t="inlineStr">
        <is>
          <t>P109</t>
        </is>
      </c>
      <c r="F49" t="n">
        <v>4</v>
      </c>
      <c r="G49" s="3" t="n">
        <v>6999</v>
      </c>
      <c r="H49" s="3" t="n">
        <v>27996</v>
      </c>
      <c r="I49" t="inlineStr">
        <is>
          <t>Card</t>
        </is>
      </c>
      <c r="J49" t="inlineStr">
        <is>
          <t>Online</t>
        </is>
      </c>
      <c r="K49" t="inlineStr">
        <is>
          <t>Completed</t>
        </is>
      </c>
      <c r="L49">
        <f>VLOOKUP(E49,Lookup_Data!$A$2:$D$11,2,FALSE)</f>
        <v/>
      </c>
      <c r="M49" s="3">
        <f>XLOOKUP(E49,Lookup_Data!$A$2:$A$11,Lookup_Data!$D$2:$D$11,"Not Found")</f>
        <v/>
      </c>
      <c r="N49">
        <f>XLOOKUP(E49,Lookup_Data!$A$2:$A$11,Lookup_Data!$C$2:$C$11,"Not Found")</f>
        <v/>
      </c>
      <c r="O49">
        <f>PROPER(TRIM(C49))</f>
        <v/>
      </c>
      <c r="P49">
        <f>IF(H49&gt;=20000,"High Value",IF(H49&gt;=10000,"Medium Value","Standard"))</f>
        <v/>
      </c>
      <c r="Q49">
        <f>IF(K49="Completed","Include","Review")</f>
        <v/>
      </c>
    </row>
    <row r="50">
      <c r="A50" t="inlineStr">
        <is>
          <t>RT0049</t>
        </is>
      </c>
      <c r="B50" s="2" t="n">
        <v>46128</v>
      </c>
      <c r="C50" t="inlineStr">
        <is>
          <t>Arjun Patel</t>
        </is>
      </c>
      <c r="D50" t="inlineStr">
        <is>
          <t>South</t>
        </is>
      </c>
      <c r="E50" t="inlineStr">
        <is>
          <t>P101</t>
        </is>
      </c>
      <c r="F50" t="n">
        <v>2</v>
      </c>
      <c r="G50" s="3" t="n">
        <v>799</v>
      </c>
      <c r="H50" s="3" t="n">
        <v>1598</v>
      </c>
      <c r="I50" t="inlineStr">
        <is>
          <t>Net Banking</t>
        </is>
      </c>
      <c r="J50" t="inlineStr">
        <is>
          <t>Online</t>
        </is>
      </c>
      <c r="K50" t="inlineStr">
        <is>
          <t>Cancelled</t>
        </is>
      </c>
      <c r="L50">
        <f>VLOOKUP(E50,Lookup_Data!$A$2:$D$11,2,FALSE)</f>
        <v/>
      </c>
      <c r="M50" s="3">
        <f>XLOOKUP(E50,Lookup_Data!$A$2:$A$11,Lookup_Data!$D$2:$D$11,"Not Found")</f>
        <v/>
      </c>
      <c r="N50">
        <f>XLOOKUP(E50,Lookup_Data!$A$2:$A$11,Lookup_Data!$C$2:$C$11,"Not Found")</f>
        <v/>
      </c>
      <c r="O50">
        <f>PROPER(TRIM(C50))</f>
        <v/>
      </c>
      <c r="P50">
        <f>IF(H50&gt;=20000,"High Value",IF(H50&gt;=10000,"Medium Value","Standard"))</f>
        <v/>
      </c>
      <c r="Q50">
        <f>IF(K50="Completed","Include","Review")</f>
        <v/>
      </c>
    </row>
    <row r="51">
      <c r="A51" t="inlineStr">
        <is>
          <t>RT0050</t>
        </is>
      </c>
      <c r="B51" s="2" t="n">
        <v>46143</v>
      </c>
      <c r="C51" t="inlineStr">
        <is>
          <t xml:space="preserve">  anita sharma  </t>
        </is>
      </c>
      <c r="D51" t="inlineStr">
        <is>
          <t>South</t>
        </is>
      </c>
      <c r="E51" t="inlineStr">
        <is>
          <t>P102</t>
        </is>
      </c>
      <c r="F51" t="n">
        <v>4</v>
      </c>
      <c r="G51" s="3" t="n">
        <v>2499</v>
      </c>
      <c r="H51" s="3" t="n">
        <v>9996</v>
      </c>
      <c r="I51" t="inlineStr">
        <is>
          <t>Card</t>
        </is>
      </c>
      <c r="J51" t="inlineStr">
        <is>
          <t>Store</t>
        </is>
      </c>
      <c r="K51" t="inlineStr">
        <is>
          <t>Completed</t>
        </is>
      </c>
      <c r="L51">
        <f>VLOOKUP(E51,Lookup_Data!$A$2:$D$11,2,FALSE)</f>
        <v/>
      </c>
      <c r="M51" s="3">
        <f>XLOOKUP(E51,Lookup_Data!$A$2:$A$11,Lookup_Data!$D$2:$D$11,"Not Found")</f>
        <v/>
      </c>
      <c r="N51">
        <f>XLOOKUP(E51,Lookup_Data!$A$2:$A$11,Lookup_Data!$C$2:$C$11,"Not Found")</f>
        <v/>
      </c>
      <c r="O51">
        <f>PROPER(TRIM(C51))</f>
        <v/>
      </c>
      <c r="P51">
        <f>IF(H51&gt;=20000,"High Value",IF(H51&gt;=10000,"Medium Value","Standard"))</f>
        <v/>
      </c>
      <c r="Q51">
        <f>IF(K51="Completed","Include","Review")</f>
        <v/>
      </c>
    </row>
    <row r="52">
      <c r="A52" t="inlineStr">
        <is>
          <t>RT0051</t>
        </is>
      </c>
      <c r="B52" s="2" t="n">
        <v>46029</v>
      </c>
      <c r="C52" t="inlineStr">
        <is>
          <t xml:space="preserve">  Vivek Singh</t>
        </is>
      </c>
      <c r="D52" t="inlineStr">
        <is>
          <t>South</t>
        </is>
      </c>
      <c r="E52" t="inlineStr">
        <is>
          <t>P105</t>
        </is>
      </c>
      <c r="F52" t="n">
        <v>2</v>
      </c>
      <c r="G52" s="3" t="n">
        <v>1299</v>
      </c>
      <c r="H52" s="3" t="n">
        <v>2598</v>
      </c>
      <c r="I52" t="inlineStr">
        <is>
          <t>Cash</t>
        </is>
      </c>
      <c r="J52" t="inlineStr">
        <is>
          <t>Store</t>
        </is>
      </c>
      <c r="K52" t="inlineStr">
        <is>
          <t>Completed</t>
        </is>
      </c>
      <c r="L52">
        <f>VLOOKUP(E52,Lookup_Data!$A$2:$D$11,2,FALSE)</f>
        <v/>
      </c>
      <c r="M52" s="3">
        <f>XLOOKUP(E52,Lookup_Data!$A$2:$A$11,Lookup_Data!$D$2:$D$11,"Not Found")</f>
        <v/>
      </c>
      <c r="N52">
        <f>XLOOKUP(E52,Lookup_Data!$A$2:$A$11,Lookup_Data!$C$2:$C$11,"Not Found")</f>
        <v/>
      </c>
      <c r="O52">
        <f>PROPER(TRIM(C52))</f>
        <v/>
      </c>
      <c r="P52">
        <f>IF(H52&gt;=20000,"High Value",IF(H52&gt;=10000,"Medium Value","Standard"))</f>
        <v/>
      </c>
      <c r="Q52">
        <f>IF(K52="Completed","Include","Review")</f>
        <v/>
      </c>
    </row>
    <row r="53">
      <c r="A53" t="inlineStr">
        <is>
          <t>RT0052</t>
        </is>
      </c>
      <c r="B53" s="2" t="n">
        <v>46187</v>
      </c>
      <c r="C53" t="inlineStr">
        <is>
          <t>Arjun Patel</t>
        </is>
      </c>
      <c r="D53" t="inlineStr">
        <is>
          <t>West</t>
        </is>
      </c>
      <c r="E53" t="inlineStr">
        <is>
          <t>P102</t>
        </is>
      </c>
      <c r="F53" t="n">
        <v>3</v>
      </c>
      <c r="G53" s="3" t="n">
        <v>2499</v>
      </c>
      <c r="H53" s="3" t="n">
        <v>7497</v>
      </c>
      <c r="I53" t="inlineStr">
        <is>
          <t>Net Banking</t>
        </is>
      </c>
      <c r="J53" t="inlineStr">
        <is>
          <t>Online</t>
        </is>
      </c>
      <c r="K53" t="inlineStr">
        <is>
          <t>Completed</t>
        </is>
      </c>
      <c r="L53">
        <f>VLOOKUP(E53,Lookup_Data!$A$2:$D$11,2,FALSE)</f>
        <v/>
      </c>
      <c r="M53" s="3">
        <f>XLOOKUP(E53,Lookup_Data!$A$2:$A$11,Lookup_Data!$D$2:$D$11,"Not Found")</f>
        <v/>
      </c>
      <c r="N53">
        <f>XLOOKUP(E53,Lookup_Data!$A$2:$A$11,Lookup_Data!$C$2:$C$11,"Not Found")</f>
        <v/>
      </c>
      <c r="O53">
        <f>PROPER(TRIM(C53))</f>
        <v/>
      </c>
      <c r="P53">
        <f>IF(H53&gt;=20000,"High Value",IF(H53&gt;=10000,"Medium Value","Standard"))</f>
        <v/>
      </c>
      <c r="Q53">
        <f>IF(K53="Completed","Include","Review")</f>
        <v/>
      </c>
    </row>
    <row r="54">
      <c r="A54" t="inlineStr">
        <is>
          <t>RT0053</t>
        </is>
      </c>
      <c r="B54" s="2" t="n">
        <v>46090</v>
      </c>
      <c r="C54" t="inlineStr">
        <is>
          <t>Aman Gupta</t>
        </is>
      </c>
      <c r="D54" t="inlineStr">
        <is>
          <t>North</t>
        </is>
      </c>
      <c r="E54" t="inlineStr">
        <is>
          <t>P105</t>
        </is>
      </c>
      <c r="F54" t="n">
        <v>2</v>
      </c>
      <c r="G54" s="3" t="n">
        <v>1299</v>
      </c>
      <c r="H54" s="3" t="n">
        <v>2598</v>
      </c>
      <c r="I54" t="inlineStr">
        <is>
          <t>UPI</t>
        </is>
      </c>
      <c r="J54" t="inlineStr">
        <is>
          <t>Store</t>
        </is>
      </c>
      <c r="K54" t="inlineStr">
        <is>
          <t>Completed</t>
        </is>
      </c>
      <c r="L54">
        <f>VLOOKUP(E54,Lookup_Data!$A$2:$D$11,2,FALSE)</f>
        <v/>
      </c>
      <c r="M54" s="3">
        <f>XLOOKUP(E54,Lookup_Data!$A$2:$A$11,Lookup_Data!$D$2:$D$11,"Not Found")</f>
        <v/>
      </c>
      <c r="N54">
        <f>XLOOKUP(E54,Lookup_Data!$A$2:$A$11,Lookup_Data!$C$2:$C$11,"Not Found")</f>
        <v/>
      </c>
      <c r="O54">
        <f>PROPER(TRIM(C54))</f>
        <v/>
      </c>
      <c r="P54">
        <f>IF(H54&gt;=20000,"High Value",IF(H54&gt;=10000,"Medium Value","Standard"))</f>
        <v/>
      </c>
      <c r="Q54">
        <f>IF(K54="Completed","Include","Review")</f>
        <v/>
      </c>
    </row>
    <row r="55">
      <c r="A55" t="inlineStr">
        <is>
          <t>RT0054</t>
        </is>
      </c>
      <c r="B55" s="2" t="n">
        <v>46153</v>
      </c>
      <c r="C55" t="inlineStr">
        <is>
          <t>Aman Gupta</t>
        </is>
      </c>
      <c r="D55" t="inlineStr">
        <is>
          <t>North</t>
        </is>
      </c>
      <c r="E55" t="inlineStr">
        <is>
          <t>P106</t>
        </is>
      </c>
      <c r="F55" t="n">
        <v>4</v>
      </c>
      <c r="G55" s="3" t="n">
        <v>3499</v>
      </c>
      <c r="H55" s="3" t="n">
        <v>13996</v>
      </c>
      <c r="I55" t="inlineStr">
        <is>
          <t>Cash</t>
        </is>
      </c>
      <c r="J55" t="inlineStr">
        <is>
          <t>Online</t>
        </is>
      </c>
      <c r="K55" t="inlineStr">
        <is>
          <t>Completed</t>
        </is>
      </c>
      <c r="L55">
        <f>VLOOKUP(E55,Lookup_Data!$A$2:$D$11,2,FALSE)</f>
        <v/>
      </c>
      <c r="M55" s="3">
        <f>XLOOKUP(E55,Lookup_Data!$A$2:$A$11,Lookup_Data!$D$2:$D$11,"Not Found")</f>
        <v/>
      </c>
      <c r="N55">
        <f>XLOOKUP(E55,Lookup_Data!$A$2:$A$11,Lookup_Data!$C$2:$C$11,"Not Found")</f>
        <v/>
      </c>
      <c r="O55">
        <f>PROPER(TRIM(C55))</f>
        <v/>
      </c>
      <c r="P55">
        <f>IF(H55&gt;=20000,"High Value",IF(H55&gt;=10000,"Medium Value","Standard"))</f>
        <v/>
      </c>
      <c r="Q55">
        <f>IF(K55="Completed","Include","Review")</f>
        <v/>
      </c>
    </row>
    <row r="56">
      <c r="A56" t="inlineStr">
        <is>
          <t>RT0055</t>
        </is>
      </c>
      <c r="B56" s="2" t="n">
        <v>46156</v>
      </c>
      <c r="C56" t="inlineStr">
        <is>
          <t xml:space="preserve">  anita sharma  </t>
        </is>
      </c>
      <c r="D56" t="inlineStr">
        <is>
          <t>South</t>
        </is>
      </c>
      <c r="E56" t="inlineStr">
        <is>
          <t>P101</t>
        </is>
      </c>
      <c r="F56" t="n">
        <v>4</v>
      </c>
      <c r="G56" s="3" t="n">
        <v>799</v>
      </c>
      <c r="H56" s="3" t="n">
        <v>3196</v>
      </c>
      <c r="I56" t="inlineStr">
        <is>
          <t>Net Banking</t>
        </is>
      </c>
      <c r="J56" t="inlineStr">
        <is>
          <t>Store</t>
        </is>
      </c>
      <c r="K56" t="inlineStr">
        <is>
          <t>Completed</t>
        </is>
      </c>
      <c r="L56">
        <f>VLOOKUP(E56,Lookup_Data!$A$2:$D$11,2,FALSE)</f>
        <v/>
      </c>
      <c r="M56" s="3">
        <f>XLOOKUP(E56,Lookup_Data!$A$2:$A$11,Lookup_Data!$D$2:$D$11,"Not Found")</f>
        <v/>
      </c>
      <c r="N56">
        <f>XLOOKUP(E56,Lookup_Data!$A$2:$A$11,Lookup_Data!$C$2:$C$11,"Not Found")</f>
        <v/>
      </c>
      <c r="O56">
        <f>PROPER(TRIM(C56))</f>
        <v/>
      </c>
      <c r="P56">
        <f>IF(H56&gt;=20000,"High Value",IF(H56&gt;=10000,"Medium Value","Standard"))</f>
        <v/>
      </c>
      <c r="Q56">
        <f>IF(K56="Completed","Include","Review")</f>
        <v/>
      </c>
    </row>
    <row r="57">
      <c r="A57" t="inlineStr">
        <is>
          <t>RT0056</t>
        </is>
      </c>
      <c r="B57" s="2" t="n">
        <v>46192</v>
      </c>
      <c r="C57" t="inlineStr">
        <is>
          <t>Arjun Patel</t>
        </is>
      </c>
      <c r="D57" t="inlineStr">
        <is>
          <t>North</t>
        </is>
      </c>
      <c r="E57" t="inlineStr">
        <is>
          <t>P106</t>
        </is>
      </c>
      <c r="F57" t="n">
        <v>5</v>
      </c>
      <c r="G57" s="3" t="n">
        <v>3499</v>
      </c>
      <c r="H57" s="3" t="n">
        <v>17495</v>
      </c>
      <c r="I57" t="inlineStr">
        <is>
          <t>Net Banking</t>
        </is>
      </c>
      <c r="J57" t="inlineStr">
        <is>
          <t>Store</t>
        </is>
      </c>
      <c r="K57" t="inlineStr">
        <is>
          <t>Cancelled</t>
        </is>
      </c>
      <c r="L57">
        <f>VLOOKUP(E57,Lookup_Data!$A$2:$D$11,2,FALSE)</f>
        <v/>
      </c>
      <c r="M57" s="3">
        <f>XLOOKUP(E57,Lookup_Data!$A$2:$A$11,Lookup_Data!$D$2:$D$11,"Not Found")</f>
        <v/>
      </c>
      <c r="N57">
        <f>XLOOKUP(E57,Lookup_Data!$A$2:$A$11,Lookup_Data!$C$2:$C$11,"Not Found")</f>
        <v/>
      </c>
      <c r="O57">
        <f>PROPER(TRIM(C57))</f>
        <v/>
      </c>
      <c r="P57">
        <f>IF(H57&gt;=20000,"High Value",IF(H57&gt;=10000,"Medium Value","Standard"))</f>
        <v/>
      </c>
      <c r="Q57">
        <f>IF(K57="Completed","Include","Review")</f>
        <v/>
      </c>
    </row>
    <row r="58">
      <c r="A58" t="inlineStr">
        <is>
          <t>RT0057</t>
        </is>
      </c>
      <c r="B58" s="2" t="n">
        <v>46201</v>
      </c>
      <c r="C58" t="inlineStr">
        <is>
          <t>Kavya Joshi</t>
        </is>
      </c>
      <c r="D58" t="inlineStr">
        <is>
          <t>East</t>
        </is>
      </c>
      <c r="E58" t="inlineStr">
        <is>
          <t>P107</t>
        </is>
      </c>
      <c r="F58" t="n">
        <v>3</v>
      </c>
      <c r="G58" s="3" t="n">
        <v>7999</v>
      </c>
      <c r="H58" s="3" t="n">
        <v>23997</v>
      </c>
      <c r="I58" t="inlineStr">
        <is>
          <t>Card</t>
        </is>
      </c>
      <c r="J58" t="inlineStr">
        <is>
          <t>Online</t>
        </is>
      </c>
      <c r="K58" t="inlineStr">
        <is>
          <t>Completed</t>
        </is>
      </c>
      <c r="L58">
        <f>VLOOKUP(E58,Lookup_Data!$A$2:$D$11,2,FALSE)</f>
        <v/>
      </c>
      <c r="M58" s="3">
        <f>XLOOKUP(E58,Lookup_Data!$A$2:$A$11,Lookup_Data!$D$2:$D$11,"Not Found")</f>
        <v/>
      </c>
      <c r="N58">
        <f>XLOOKUP(E58,Lookup_Data!$A$2:$A$11,Lookup_Data!$C$2:$C$11,"Not Found")</f>
        <v/>
      </c>
      <c r="O58">
        <f>PROPER(TRIM(C58))</f>
        <v/>
      </c>
      <c r="P58">
        <f>IF(H58&gt;=20000,"High Value",IF(H58&gt;=10000,"Medium Value","Standard"))</f>
        <v/>
      </c>
      <c r="Q58">
        <f>IF(K58="Completed","Include","Review")</f>
        <v/>
      </c>
    </row>
    <row r="59">
      <c r="A59" t="inlineStr">
        <is>
          <t>RT0058</t>
        </is>
      </c>
      <c r="B59" s="2" t="n">
        <v>46168</v>
      </c>
      <c r="C59" t="inlineStr">
        <is>
          <t>Aman Gupta</t>
        </is>
      </c>
      <c r="D59" t="inlineStr">
        <is>
          <t>East</t>
        </is>
      </c>
      <c r="E59" t="inlineStr">
        <is>
          <t>P107</t>
        </is>
      </c>
      <c r="F59" t="n">
        <v>2</v>
      </c>
      <c r="G59" s="3" t="n">
        <v>7999</v>
      </c>
      <c r="H59" s="3" t="n">
        <v>15998</v>
      </c>
      <c r="I59" t="inlineStr">
        <is>
          <t>Cash</t>
        </is>
      </c>
      <c r="J59" t="inlineStr">
        <is>
          <t>Online</t>
        </is>
      </c>
      <c r="K59" t="inlineStr">
        <is>
          <t>Completed</t>
        </is>
      </c>
      <c r="L59">
        <f>VLOOKUP(E59,Lookup_Data!$A$2:$D$11,2,FALSE)</f>
        <v/>
      </c>
      <c r="M59" s="3">
        <f>XLOOKUP(E59,Lookup_Data!$A$2:$A$11,Lookup_Data!$D$2:$D$11,"Not Found")</f>
        <v/>
      </c>
      <c r="N59">
        <f>XLOOKUP(E59,Lookup_Data!$A$2:$A$11,Lookup_Data!$C$2:$C$11,"Not Found")</f>
        <v/>
      </c>
      <c r="O59">
        <f>PROPER(TRIM(C59))</f>
        <v/>
      </c>
      <c r="P59">
        <f>IF(H59&gt;=20000,"High Value",IF(H59&gt;=10000,"Medium Value","Standard"))</f>
        <v/>
      </c>
      <c r="Q59">
        <f>IF(K59="Completed","Include","Review")</f>
        <v/>
      </c>
    </row>
    <row r="60">
      <c r="A60" t="inlineStr">
        <is>
          <t>RT0059</t>
        </is>
      </c>
      <c r="B60" s="2" t="n">
        <v>46171</v>
      </c>
      <c r="C60" t="inlineStr">
        <is>
          <t>Kavya Joshi</t>
        </is>
      </c>
      <c r="D60" t="inlineStr">
        <is>
          <t>East</t>
        </is>
      </c>
      <c r="E60" t="inlineStr">
        <is>
          <t>P105</t>
        </is>
      </c>
      <c r="F60" t="n">
        <v>2</v>
      </c>
      <c r="G60" s="3" t="n">
        <v>1299</v>
      </c>
      <c r="H60" s="3" t="n">
        <v>2598</v>
      </c>
      <c r="I60" t="inlineStr">
        <is>
          <t>Cash</t>
        </is>
      </c>
      <c r="J60" t="inlineStr">
        <is>
          <t>Store</t>
        </is>
      </c>
      <c r="K60" t="inlineStr">
        <is>
          <t>Completed</t>
        </is>
      </c>
      <c r="L60">
        <f>VLOOKUP(E60,Lookup_Data!$A$2:$D$11,2,FALSE)</f>
        <v/>
      </c>
      <c r="M60" s="3">
        <f>XLOOKUP(E60,Lookup_Data!$A$2:$A$11,Lookup_Data!$D$2:$D$11,"Not Found")</f>
        <v/>
      </c>
      <c r="N60">
        <f>XLOOKUP(E60,Lookup_Data!$A$2:$A$11,Lookup_Data!$C$2:$C$11,"Not Found")</f>
        <v/>
      </c>
      <c r="O60">
        <f>PROPER(TRIM(C60))</f>
        <v/>
      </c>
      <c r="P60">
        <f>IF(H60&gt;=20000,"High Value",IF(H60&gt;=10000,"Medium Value","Standard"))</f>
        <v/>
      </c>
      <c r="Q60">
        <f>IF(K60="Completed","Include","Review")</f>
        <v/>
      </c>
    </row>
    <row r="61">
      <c r="A61" t="inlineStr">
        <is>
          <t>RT0060</t>
        </is>
      </c>
      <c r="B61" s="2" t="n">
        <v>46066</v>
      </c>
      <c r="C61" t="inlineStr">
        <is>
          <t>Sanjay Verma</t>
        </is>
      </c>
      <c r="D61" t="inlineStr">
        <is>
          <t>North</t>
        </is>
      </c>
      <c r="E61" t="inlineStr">
        <is>
          <t>P104</t>
        </is>
      </c>
      <c r="F61" t="n">
        <v>5</v>
      </c>
      <c r="G61" s="3" t="n">
        <v>18999</v>
      </c>
      <c r="H61" s="3" t="n">
        <v>94995</v>
      </c>
      <c r="I61" t="inlineStr">
        <is>
          <t>Net Banking</t>
        </is>
      </c>
      <c r="J61" t="inlineStr">
        <is>
          <t>Store</t>
        </is>
      </c>
      <c r="K61" t="inlineStr">
        <is>
          <t>Completed</t>
        </is>
      </c>
      <c r="L61">
        <f>VLOOKUP(E61,Lookup_Data!$A$2:$D$11,2,FALSE)</f>
        <v/>
      </c>
      <c r="M61" s="3">
        <f>XLOOKUP(E61,Lookup_Data!$A$2:$A$11,Lookup_Data!$D$2:$D$11,"Not Found")</f>
        <v/>
      </c>
      <c r="N61">
        <f>XLOOKUP(E61,Lookup_Data!$A$2:$A$11,Lookup_Data!$C$2:$C$11,"Not Found")</f>
        <v/>
      </c>
      <c r="O61">
        <f>PROPER(TRIM(C61))</f>
        <v/>
      </c>
      <c r="P61">
        <f>IF(H61&gt;=20000,"High Value",IF(H61&gt;=10000,"Medium Value","Standard"))</f>
        <v/>
      </c>
      <c r="Q61">
        <f>IF(K61="Completed","Include","Review")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4" customWidth="1" min="4" max="4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</row>
    <row r="2">
      <c r="A2" t="inlineStr">
        <is>
          <t>P101</t>
        </is>
      </c>
      <c r="B2" t="inlineStr">
        <is>
          <t>Wireless Mouse</t>
        </is>
      </c>
      <c r="C2" t="inlineStr">
        <is>
          <t>Accessories</t>
        </is>
      </c>
      <c r="D2" s="3" t="n">
        <v>799</v>
      </c>
    </row>
    <row r="3">
      <c r="A3" t="inlineStr">
        <is>
          <t>P102</t>
        </is>
      </c>
      <c r="B3" t="inlineStr">
        <is>
          <t>Mechanical Keyboard</t>
        </is>
      </c>
      <c r="C3" t="inlineStr">
        <is>
          <t>Accessories</t>
        </is>
      </c>
      <c r="D3" s="3" t="n">
        <v>2499</v>
      </c>
    </row>
    <row r="4">
      <c r="A4" t="inlineStr">
        <is>
          <t>P103</t>
        </is>
      </c>
      <c r="B4" t="inlineStr">
        <is>
          <t>USB-C Hub</t>
        </is>
      </c>
      <c r="C4" t="inlineStr">
        <is>
          <t>Accessories</t>
        </is>
      </c>
      <c r="D4" s="3" t="n">
        <v>1599</v>
      </c>
    </row>
    <row r="5">
      <c r="A5" t="inlineStr">
        <is>
          <t>P104</t>
        </is>
      </c>
      <c r="B5" t="inlineStr">
        <is>
          <t>27-inch Monitor</t>
        </is>
      </c>
      <c r="C5" t="inlineStr">
        <is>
          <t>Monitors</t>
        </is>
      </c>
      <c r="D5" s="3" t="n">
        <v>18999</v>
      </c>
    </row>
    <row r="6">
      <c r="A6" t="inlineStr">
        <is>
          <t>P105</t>
        </is>
      </c>
      <c r="B6" t="inlineStr">
        <is>
          <t>Laptop Stand</t>
        </is>
      </c>
      <c r="C6" t="inlineStr">
        <is>
          <t>Accessories</t>
        </is>
      </c>
      <c r="D6" s="3" t="n">
        <v>1299</v>
      </c>
    </row>
    <row r="7">
      <c r="A7" t="inlineStr">
        <is>
          <t>P106</t>
        </is>
      </c>
      <c r="B7" t="inlineStr">
        <is>
          <t>Bluetooth Speaker</t>
        </is>
      </c>
      <c r="C7" t="inlineStr">
        <is>
          <t>Audio</t>
        </is>
      </c>
      <c r="D7" s="3" t="n">
        <v>3499</v>
      </c>
    </row>
    <row r="8">
      <c r="A8" t="inlineStr">
        <is>
          <t>P107</t>
        </is>
      </c>
      <c r="B8" t="inlineStr">
        <is>
          <t>Noise Cancelling Headphones</t>
        </is>
      </c>
      <c r="C8" t="inlineStr">
        <is>
          <t>Audio</t>
        </is>
      </c>
      <c r="D8" s="3" t="n">
        <v>7999</v>
      </c>
    </row>
    <row r="9">
      <c r="A9" t="inlineStr">
        <is>
          <t>P108</t>
        </is>
      </c>
      <c r="B9" t="inlineStr">
        <is>
          <t>Webcam</t>
        </is>
      </c>
      <c r="C9" t="inlineStr">
        <is>
          <t>Accessories</t>
        </is>
      </c>
      <c r="D9" s="3" t="n">
        <v>4299</v>
      </c>
    </row>
    <row r="10">
      <c r="A10" t="inlineStr">
        <is>
          <t>P109</t>
        </is>
      </c>
      <c r="B10" t="inlineStr">
        <is>
          <t>SSD 1TB</t>
        </is>
      </c>
      <c r="C10" t="inlineStr">
        <is>
          <t>Storage</t>
        </is>
      </c>
      <c r="D10" s="3" t="n">
        <v>6999</v>
      </c>
    </row>
    <row r="11">
      <c r="A11" t="inlineStr">
        <is>
          <t>P110</t>
        </is>
      </c>
      <c r="B11" t="inlineStr">
        <is>
          <t>External HDD 2TB</t>
        </is>
      </c>
      <c r="C11" t="inlineStr">
        <is>
          <t>Storage</t>
        </is>
      </c>
      <c r="D11" s="3" t="n">
        <v>5899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" customWidth="1" min="3" max="3"/>
    <col width="18" customWidth="1" min="4" max="4"/>
    <col width="22" customWidth="1" min="5" max="5"/>
    <col width="3" customWidth="1" min="6" max="6"/>
    <col width="18" customWidth="1" min="7" max="7"/>
    <col width="62" customWidth="1" min="8" max="8"/>
  </cols>
  <sheetData>
    <row r="1">
      <c r="A1" s="4" t="inlineStr">
        <is>
          <t>Retail Sales Formula Analysis</t>
        </is>
      </c>
    </row>
    <row r="3">
      <c r="A3" s="1" t="inlineStr">
        <is>
          <t>Metric</t>
        </is>
      </c>
      <c r="B3" s="1" t="inlineStr">
        <is>
          <t>Formula / Result</t>
        </is>
      </c>
      <c r="C3" s="1" t="n"/>
      <c r="D3" s="1" t="n"/>
      <c r="E3" s="1" t="n"/>
      <c r="F3" s="1" t="n"/>
      <c r="G3" s="1" t="inlineStr">
        <is>
          <t>Formula</t>
        </is>
      </c>
      <c r="H3" s="1" t="inlineStr">
        <is>
          <t>Purpose</t>
        </is>
      </c>
    </row>
    <row r="4">
      <c r="A4" t="inlineStr">
        <is>
          <t>Completed Sales</t>
        </is>
      </c>
      <c r="B4" s="3">
        <f>SUMIFS(Transactions!$H:$H,Transactions!$K:$K,"Completed")</f>
        <v/>
      </c>
      <c r="G4" t="inlineStr">
        <is>
          <t>VLOOKUP</t>
        </is>
      </c>
      <c r="H4" t="inlineStr">
        <is>
          <t>Find product name from Product_ID using a left-to-right lookup.</t>
        </is>
      </c>
    </row>
    <row r="5">
      <c r="A5" t="inlineStr">
        <is>
          <t>Completed Orders</t>
        </is>
      </c>
      <c r="B5">
        <f>COUNTIFS(Transactions!$K:$K,"Completed")</f>
        <v/>
      </c>
      <c r="G5" t="inlineStr">
        <is>
          <t>XLOOKUP</t>
        </is>
      </c>
      <c r="H5" t="inlineStr">
        <is>
          <t>Return price/category from Product_ID; easier and more flexible than VLOOKUP.</t>
        </is>
      </c>
    </row>
    <row r="6">
      <c r="A6" t="inlineStr">
        <is>
          <t>Average Completed Order</t>
        </is>
      </c>
      <c r="B6" s="3">
        <f>B4/B5</f>
        <v/>
      </c>
      <c r="G6" t="inlineStr">
        <is>
          <t>IF</t>
        </is>
      </c>
      <c r="H6" t="inlineStr">
        <is>
          <t>Classify orders into value bands and operational flags.</t>
        </is>
      </c>
    </row>
    <row r="7">
      <c r="A7" t="inlineStr">
        <is>
          <t>High-Value Completed Orders</t>
        </is>
      </c>
      <c r="B7">
        <f>COUNTIFS(Transactions!$K:$K,"Completed",Transactions!$H:$H,"&gt;=20000")</f>
        <v/>
      </c>
      <c r="G7" t="inlineStr">
        <is>
          <t>SUMIFS</t>
        </is>
      </c>
      <c r="H7" t="inlineStr">
        <is>
          <t>Sum completed sales using one or more criteria.</t>
        </is>
      </c>
    </row>
    <row r="8">
      <c r="G8" t="inlineStr">
        <is>
          <t>COUNTIFS</t>
        </is>
      </c>
      <c r="H8" t="inlineStr">
        <is>
          <t>Count completed/high-value orders using multiple criteria.</t>
        </is>
      </c>
    </row>
    <row r="9">
      <c r="G9" t="inlineStr">
        <is>
          <t>TRIM + PROPER</t>
        </is>
      </c>
      <c r="H9" t="inlineStr">
        <is>
          <t>Clean extra spaces and standardize customer names.</t>
        </is>
      </c>
    </row>
    <row r="10">
      <c r="A10" s="5" t="inlineStr">
        <is>
          <t>Sales by Region</t>
        </is>
      </c>
      <c r="D10" s="5" t="inlineStr">
        <is>
          <t>Sales by Category</t>
        </is>
      </c>
      <c r="G10" t="inlineStr">
        <is>
          <t>LEFT / RIGHT</t>
        </is>
      </c>
      <c r="H10" t="inlineStr">
        <is>
          <t>Extract prefixes/suffixes from IDs or text when needed.</t>
        </is>
      </c>
    </row>
    <row r="11">
      <c r="A11" s="1" t="inlineStr">
        <is>
          <t>Region</t>
        </is>
      </c>
      <c r="B11" s="1" t="inlineStr">
        <is>
          <t>Completed Sales</t>
        </is>
      </c>
      <c r="C11" s="1" t="n"/>
      <c r="D11" s="1" t="inlineStr">
        <is>
          <t>Category</t>
        </is>
      </c>
      <c r="E11" s="1" t="inlineStr">
        <is>
          <t>Completed Sales</t>
        </is>
      </c>
    </row>
    <row r="12">
      <c r="A12" t="inlineStr">
        <is>
          <t>North</t>
        </is>
      </c>
      <c r="B12" s="3">
        <f>SUMIFS(Transactions!$H:$H,Transactions!$D:$D,A12,Transactions!$K:$K,"Completed")</f>
        <v/>
      </c>
      <c r="D12" t="inlineStr">
        <is>
          <t>Accessories</t>
        </is>
      </c>
      <c r="E12" s="3">
        <f>SUMIFS(Transactions!$H:$H,Transactions!$N:$N,D12,Transactions!$K:$K,"Completed")</f>
        <v/>
      </c>
    </row>
    <row r="13">
      <c r="A13" t="inlineStr">
        <is>
          <t>South</t>
        </is>
      </c>
      <c r="B13" s="3">
        <f>SUMIFS(Transactions!$H:$H,Transactions!$D:$D,A13,Transactions!$K:$K,"Completed")</f>
        <v/>
      </c>
      <c r="D13" t="inlineStr">
        <is>
          <t>Monitors</t>
        </is>
      </c>
      <c r="E13" s="3">
        <f>SUMIFS(Transactions!$H:$H,Transactions!$N:$N,D13,Transactions!$K:$K,"Completed")</f>
        <v/>
      </c>
    </row>
    <row r="14">
      <c r="A14" t="inlineStr">
        <is>
          <t>East</t>
        </is>
      </c>
      <c r="B14" s="3">
        <f>SUMIFS(Transactions!$H:$H,Transactions!$D:$D,A14,Transactions!$K:$K,"Completed")</f>
        <v/>
      </c>
      <c r="D14" t="inlineStr">
        <is>
          <t>Audio</t>
        </is>
      </c>
      <c r="E14" s="3">
        <f>SUMIFS(Transactions!$H:$H,Transactions!$N:$N,D14,Transactions!$K:$K,"Completed")</f>
        <v/>
      </c>
    </row>
    <row r="15">
      <c r="A15" t="inlineStr">
        <is>
          <t>West</t>
        </is>
      </c>
      <c r="B15" s="3">
        <f>SUMIFS(Transactions!$H:$H,Transactions!$D:$D,A15,Transactions!$K:$K,"Completed")</f>
        <v/>
      </c>
      <c r="D15" t="inlineStr">
        <is>
          <t>Storage</t>
        </is>
      </c>
      <c r="E15">
        <f>SUMIFS(Transactions!$H:$H,Transactions!$N:$N,D15,Transactions!$K:$K,"Completed")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55" customWidth="1" min="3" max="3"/>
  </cols>
  <sheetData>
    <row r="1">
      <c r="A1" s="1" t="inlineStr">
        <is>
          <t>Function</t>
        </is>
      </c>
      <c r="B1" s="1" t="inlineStr">
        <is>
          <t>Example Formula</t>
        </is>
      </c>
      <c r="C1" s="1" t="inlineStr">
        <is>
          <t>When to Use</t>
        </is>
      </c>
    </row>
    <row r="2">
      <c r="A2" t="inlineStr">
        <is>
          <t>VLOOKUP</t>
        </is>
      </c>
      <c r="B2">
        <f>VLOOKUP(E2,Lookup_Data!$A$2:$D$11,2,FALSE)</f>
        <v/>
      </c>
      <c r="C2" t="inlineStr">
        <is>
          <t>Legacy-friendly lookup when key is in the first column.</t>
        </is>
      </c>
    </row>
    <row r="3">
      <c r="A3" t="inlineStr">
        <is>
          <t>XLOOKUP</t>
        </is>
      </c>
      <c r="B3">
        <f>XLOOKUP(E2,Lookup_Data!$A$2:$A$11,Lookup_Data!$D$2:$D$11,"Not Found")</f>
        <v/>
      </c>
      <c r="C3" t="inlineStr">
        <is>
          <t>Preferred modern lookup; supports exact match and flexible return columns.</t>
        </is>
      </c>
    </row>
    <row r="4">
      <c r="A4" t="inlineStr">
        <is>
          <t>IF</t>
        </is>
      </c>
      <c r="B4">
        <f>IF(H2&gt;=20000,"High Value","Standard")</f>
        <v/>
      </c>
      <c r="C4" t="inlineStr">
        <is>
          <t>Create business rules or categories.</t>
        </is>
      </c>
    </row>
    <row r="5">
      <c r="A5" t="inlineStr">
        <is>
          <t>SUMIFS</t>
        </is>
      </c>
      <c r="B5">
        <f>SUMIFS(Transactions!$H:$H,Transactions!$K:$K,"Completed")</f>
        <v/>
      </c>
      <c r="C5" t="inlineStr">
        <is>
          <t>Aggregate a numeric field with multiple conditions.</t>
        </is>
      </c>
    </row>
    <row r="6">
      <c r="A6" t="inlineStr">
        <is>
          <t>COUNTIFS</t>
        </is>
      </c>
      <c r="B6">
        <f>COUNTIFS(Transactions!$K:$K,"Completed",Transactions!$H:$H,"&gt;=20000")</f>
        <v/>
      </c>
      <c r="C6" t="inlineStr">
        <is>
          <t>Count records meeting multiple conditions.</t>
        </is>
      </c>
    </row>
    <row r="7">
      <c r="A7" t="inlineStr">
        <is>
          <t>TRIM</t>
        </is>
      </c>
      <c r="B7">
        <f>TRIM(C2)</f>
        <v/>
      </c>
      <c r="C7" t="inlineStr">
        <is>
          <t>Remove leading, trailing and repeated spaces.</t>
        </is>
      </c>
    </row>
    <row r="8">
      <c r="A8" t="inlineStr">
        <is>
          <t>PROPER</t>
        </is>
      </c>
      <c r="B8">
        <f>PROPER(TRIM(C2))</f>
        <v/>
      </c>
      <c r="C8" t="inlineStr">
        <is>
          <t>Standardize names and labels.</t>
        </is>
      </c>
    </row>
    <row r="9">
      <c r="A9" t="inlineStr">
        <is>
          <t>LEFT</t>
        </is>
      </c>
      <c r="B9">
        <f>LEFT(A2,2)</f>
        <v/>
      </c>
      <c r="C9" t="inlineStr">
        <is>
          <t>Extract the first characters from an ID/text value.</t>
        </is>
      </c>
    </row>
    <row r="10">
      <c r="A10" t="inlineStr">
        <is>
          <t>RIGHT</t>
        </is>
      </c>
      <c r="B10">
        <f>RIGHT(A2,4)</f>
        <v/>
      </c>
      <c r="C10" t="inlineStr">
        <is>
          <t>Extract the last characters from an ID/text value.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6" t="inlineStr">
        <is>
          <t>Project</t>
        </is>
      </c>
      <c r="B1" t="inlineStr">
        <is>
          <t>Excel Formulas &amp; Functions Fundamentals – Solution 1</t>
        </is>
      </c>
    </row>
    <row r="2">
      <c r="A2" t="inlineStr">
        <is>
          <t>Dataset</t>
        </is>
      </c>
      <c r="B2" t="inlineStr">
        <is>
          <t>Electronics Retail Transactions (synthetic practice dataset)</t>
        </is>
      </c>
    </row>
    <row r="3">
      <c r="A3" t="inlineStr">
        <is>
          <t>Functions Demonstrated</t>
        </is>
      </c>
      <c r="B3" t="inlineStr">
        <is>
          <t>VLOOKUP, XLOOKUP, IF, SUMIFS, COUNTIFS, TRIM, PROPER, LEFT, RIGHT</t>
        </is>
      </c>
    </row>
    <row r="4">
      <c r="A4" t="inlineStr">
        <is>
          <t>How to Use</t>
        </is>
      </c>
      <c r="B4" t="inlineStr">
        <is>
          <t>Open Transactions to see formulas on live rows; Lookup_Data contains the reference table; Analysis contains KPI formulas.</t>
        </is>
      </c>
    </row>
    <row r="5">
      <c r="A5" t="inlineStr">
        <is>
          <t>Edge Cases</t>
        </is>
      </c>
      <c r="B5" t="inlineStr">
        <is>
          <t>Product IDs are exact-match lookups; customer names contain extra spaces; cancelled/pending orders are separated from completed sales.</t>
        </is>
      </c>
    </row>
    <row r="6">
      <c r="A6" t="inlineStr">
        <is>
          <t>Expected Outcome</t>
        </is>
      </c>
      <c r="B6" t="inlineStr">
        <is>
          <t>A practical workbook showing how core Excel functions support everyday analyst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2026-09-15T15:09:32Z</dcterms:created>
  <dcterms:modified xmlns:dcterms="http://purl.org/dc/terms/" xmlns:xsi="http://www.w3.org/2001/XMLSchema-instance" xsi:type="dcterms:W3CDTF">2026-09-15T15:09:32Z</dcterms:modified>
</cp:coreProperties>
</file>